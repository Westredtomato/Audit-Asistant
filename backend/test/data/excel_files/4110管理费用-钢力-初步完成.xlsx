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9200" windowHeight="8055" tabRatio="848" activeTab="5"/>
  </bookViews>
  <sheets>
    <sheet name="目录" sheetId="10" r:id="rId1"/>
    <sheet name="4110" sheetId="1" r:id="rId2"/>
    <sheet name="4110-1" sheetId="20" r:id="rId3"/>
    <sheet name="4110-2" sheetId="2" r:id="rId4"/>
    <sheet name="4110-3" sheetId="23" r:id="rId5"/>
    <sheet name="4110-4" sheetId="24" r:id="rId6"/>
    <sheet name="4110-5" sheetId="18" r:id="rId7"/>
    <sheet name="4110-6" sheetId="11" r:id="rId8"/>
    <sheet name="4110-7" sheetId="15" r:id="rId9"/>
    <sheet name="TB" sheetId="38" r:id="rId10"/>
    <sheet name="ZZX-Template" sheetId="39" state="hidden" r:id="rId11"/>
  </sheets>
  <externalReferences>
    <externalReference r:id="rId15"/>
    <externalReference r:id="rId16"/>
    <externalReference r:id="rId17"/>
    <externalReference r:id="rId18"/>
    <externalReference r:id="rId19"/>
    <externalReference r:id="rId20"/>
  </externalReferences>
  <definedNames>
    <definedName name="_xlnm._FilterDatabase" localSheetId="4" hidden="1">'[1]关联交易-存款'!#REF!</definedName>
    <definedName name="_xlnm._FilterDatabase" hidden="1">'[1]关联交易-存款'!#REF!</definedName>
    <definedName name="a" hidden="1">{#N/A,#N/A,FALSE,"主要经济指标完成情况表"}</definedName>
    <definedName name="aa" hidden="1">{#N/A,#N/A,FALSE,"负债表"}</definedName>
    <definedName name="aaa" localSheetId="4" hidden="1">{#N/A,#N/A,FALSE,"主要经济指标完成情况表"}</definedName>
    <definedName name="aaa" hidden="1">{#N/A,#N/A,FALSE,"主要经济指标完成情况表"}</definedName>
    <definedName name="AS2DocOpenMode" hidden="1">"AS2DocumentEdit"</definedName>
    <definedName name="b" localSheetId="4" hidden="1">{#N/A,#N/A,FALSE,"主要经济指标完成情况表"}</definedName>
    <definedName name="b" hidden="1">{#N/A,#N/A,FALSE,"主要经济指标完成情况表"}</definedName>
    <definedName name="Database" localSheetId="2" hidden="1">#REF!</definedName>
    <definedName name="Database" localSheetId="6" hidden="1">#REF!</definedName>
    <definedName name="Database" localSheetId="8" hidden="1">#REF!</definedName>
    <definedName name="Database" localSheetId="9" hidden="1">#REF!</definedName>
    <definedName name="Database" localSheetId="10" hidden="1">#REF!</definedName>
    <definedName name="Database" hidden="1">#REF!</definedName>
    <definedName name="er" localSheetId="4" hidden="1">{#N/A,#N/A,FALSE,"主要经济指标完成情况表"}</definedName>
    <definedName name="er" hidden="1">{#N/A,#N/A,FALSE,"主要经济指标完成情况表"}</definedName>
    <definedName name="feeee" localSheetId="4" hidden="1">{#N/A,#N/A,FALSE,"主要经济指标完成情况表"}</definedName>
    <definedName name="feeee" hidden="1">{#N/A,#N/A,FALSE,"主要经济指标完成情况表"}</definedName>
    <definedName name="haha" localSheetId="4" hidden="1">{#N/A,#N/A,FALSE,"负债表"}</definedName>
    <definedName name="haha" hidden="1">{#N/A,#N/A,FALSE,"负债表"}</definedName>
    <definedName name="HTML_CodePage" hidden="1">936</definedName>
    <definedName name="HTML_Control" localSheetId="4" hidden="1">{"'四月'!$A$1:$L$12"}</definedName>
    <definedName name="HTML_Control" hidden="1">{"'四月'!$A$1:$L$12"}</definedName>
    <definedName name="HTML_Description" hidden="1">""</definedName>
    <definedName name="HTML_Email" hidden="1">""</definedName>
    <definedName name="HTML_Header" hidden="1">"四月"</definedName>
    <definedName name="HTML_LastUpdate" hidden="1">"2002-04-30"</definedName>
    <definedName name="HTML_LineAfter" hidden="1">FALSE</definedName>
    <definedName name="HTML_LineBefore" hidden="1">FALSE</definedName>
    <definedName name="HTML_Name" hidden="1">"USER"</definedName>
    <definedName name="HTML_OBDlg2" hidden="1">TRUE</definedName>
    <definedName name="HTML_OBDlg4" hidden="1">TRUE</definedName>
    <definedName name="HTML_OS" hidden="1">0</definedName>
    <definedName name="HTML_PathFile" hidden="1">"C:\My Documents\MyHTML.htm"</definedName>
    <definedName name="HTML_Title" hidden="1">"车间成本计算底稿"</definedName>
    <definedName name="jcqkb" localSheetId="4" hidden="1">{#N/A,#N/A,FALSE,"负债表"}</definedName>
    <definedName name="jcqkb" hidden="1">{#N/A,#N/A,FALSE,"负债表"}</definedName>
    <definedName name="jkls" localSheetId="4" hidden="1">{#N/A,#N/A,FALSE,"负债表"}</definedName>
    <definedName name="jkls" hidden="1">{#N/A,#N/A,FALSE,"负债表"}</definedName>
    <definedName name="_xlnm.Print_Area" localSheetId="1">'4110'!$B$1:$K$27</definedName>
    <definedName name="_xlnm.Print_Area" localSheetId="2">'4110-1'!$B$1:$J$50</definedName>
    <definedName name="_xlnm.Print_Area" localSheetId="3">'4110-2'!$B$1:$H$24</definedName>
    <definedName name="_xlnm.Print_Area" localSheetId="4">'4110-3'!$B$1:$V$126</definedName>
    <definedName name="_xlnm.Print_Area" localSheetId="5">'4110-4'!$B$1:$K$50</definedName>
    <definedName name="_xlnm.Print_Area" localSheetId="6">'4110-5'!$B$1:$M$26</definedName>
    <definedName name="_xlnm.Print_Area" localSheetId="7">'4110-6'!$B$1:$H$36</definedName>
    <definedName name="_xlnm.Print_Area" localSheetId="8">'4110-7'!$B$1:$N$19</definedName>
    <definedName name="_xlnm.Print_Area" localSheetId="10">'ZZX-Template'!$A$1:$Q$16</definedName>
    <definedName name="_xlnm.Print_Area" localSheetId="0">目录!$B$2:$L$11</definedName>
    <definedName name="_xlnm.Print_Area" hidden="1">#N/A</definedName>
    <definedName name="Print_Area_MI">#REF!</definedName>
    <definedName name="_xlnm.Print_Titles" localSheetId="1">'4110'!$4:$5</definedName>
    <definedName name="_xlnm.Print_Titles" localSheetId="2">'4110-1'!$4:$5</definedName>
    <definedName name="_xlnm.Print_Titles" localSheetId="3">'4110-2'!$4:$4</definedName>
    <definedName name="_xlnm.Print_Titles" localSheetId="4">'4110-3'!$4:$4</definedName>
    <definedName name="_xlnm.Print_Titles" localSheetId="5">'4110-4'!$4:$6</definedName>
    <definedName name="_xlnm.Print_Titles" localSheetId="6">'4110-5'!$4:$4</definedName>
    <definedName name="_xlnm.Print_Titles" localSheetId="7">'4110-6'!$10:$11</definedName>
    <definedName name="_xlnm.Print_Titles" localSheetId="8">'4110-7'!$4:$5</definedName>
    <definedName name="_xlnm.Print_Titles" localSheetId="9" hidden="1">#REF!</definedName>
    <definedName name="_xlnm.Print_Titles" localSheetId="10" hidden="1">#REF!</definedName>
    <definedName name="_xlnm.Print_Titles" localSheetId="0">目录!$3:$3</definedName>
    <definedName name="_xlnm.Print_Titles" hidden="1">#REF!</definedName>
    <definedName name="SAPBEXrevision" hidden="1">1</definedName>
    <definedName name="SAPBEXsysID" hidden="1">"PE4"</definedName>
    <definedName name="SAPBEXwbID" hidden="1">"3Q4R7W3VD66V3CXTGQHGIRCBE"</definedName>
    <definedName name="TextRefCopyRangeCount" hidden="1">4</definedName>
    <definedName name="wo" localSheetId="4" hidden="1">{#N/A,#N/A,FALSE,"负债表"}</definedName>
    <definedName name="wo" hidden="1">{#N/A,#N/A,FALSE,"负债表"}</definedName>
    <definedName name="wrn.负债表." localSheetId="4" hidden="1">{#N/A,#N/A,FALSE,"负债表"}</definedName>
    <definedName name="wrn.负债表." hidden="1">{#N/A,#N/A,FALSE,"负债表"}</definedName>
    <definedName name="wrn.主要经济指标完成情况表." localSheetId="4" hidden="1">{#N/A,#N/A,FALSE,"主要经济指标完成情况表"}</definedName>
    <definedName name="wrn.主要经济指标完成情况表." hidden="1">{#N/A,#N/A,FALSE,"主要经济指标完成情况表"}</definedName>
    <definedName name="yu" localSheetId="4" hidden="1">{#N/A,#N/A,FALSE,"负债表"}</definedName>
    <definedName name="yu" hidden="1">{#N/A,#N/A,FALSE,"负债表"}</definedName>
    <definedName name="yuer" localSheetId="4" hidden="1">{#N/A,#N/A,FALSE,"负债表"}</definedName>
    <definedName name="yuer" hidden="1">{#N/A,#N/A,FALSE,"负债表"}</definedName>
    <definedName name="yuewr" localSheetId="4" hidden="1">{#N/A,#N/A,FALSE,"主要经济指标完成情况表"}</definedName>
    <definedName name="yuewr" hidden="1">{#N/A,#N/A,FALSE,"主要经济指标完成情况表"}</definedName>
    <definedName name="yuti" localSheetId="4" hidden="1">{#N/A,#N/A,FALSE,"负债表"}</definedName>
    <definedName name="yuti" hidden="1">{#N/A,#N/A,FALSE,"负债表"}</definedName>
    <definedName name="财务费用检查情况表" localSheetId="4" hidden="1">{#N/A,#N/A,FALSE,"负债表"}</definedName>
    <definedName name="财务费用检查情况表" hidden="1">{#N/A,#N/A,FALSE,"负债表"}</definedName>
    <definedName name="的" localSheetId="4" hidden="1">{#N/A,#N/A,FALSE,"负债表"}</definedName>
    <definedName name="的" hidden="1">{#N/A,#N/A,FALSE,"负债表"}</definedName>
    <definedName name="二级科目">TB!$B$3:$B$20</definedName>
    <definedName name="还借款" localSheetId="4" hidden="1">{#N/A,#N/A,FALSE,"负债表"}</definedName>
    <definedName name="还借款" hidden="1">{#N/A,#N/A,FALSE,"负债表"}</definedName>
    <definedName name="科目表" localSheetId="10">[2]TB!$A$3:[2]TB!$A$170</definedName>
    <definedName name="科目表">TB!$A$3:$A$170</definedName>
    <definedName name="科目设置">TB!$A$3:$A$170</definedName>
    <definedName name="梅州农业成本明细表0512" localSheetId="4" hidden="1">{#N/A,#N/A,FALSE,"负债表"}</definedName>
    <definedName name="梅州农业成本明细表0512" hidden="1">{#N/A,#N/A,FALSE,"负债表"}</definedName>
    <definedName name="其他应收款vt" localSheetId="4" hidden="1">{#N/A,#N/A,FALSE,"负债表"}</definedName>
    <definedName name="其他应收款vt" hidden="1">{#N/A,#N/A,FALSE,"负债表"}</definedName>
    <definedName name="其他应收款余额明细表" localSheetId="4" hidden="1">{#N/A,#N/A,FALSE,"负债表"}</definedName>
    <definedName name="其他应收款余额明细表" hidden="1">{#N/A,#N/A,FALSE,"负债表"}</definedName>
    <definedName name="区域.2549716" localSheetId="2" hidden="1">#REF!</definedName>
    <definedName name="区域.2549716" localSheetId="8" hidden="1">#REF!</definedName>
    <definedName name="区域.2549716" localSheetId="9" hidden="1">#REF!</definedName>
    <definedName name="区域.2549716" localSheetId="10" hidden="1">#REF!</definedName>
    <definedName name="区域.2549716" hidden="1">#REF!</definedName>
    <definedName name="区域.2549716_区域" localSheetId="2" hidden="1">#REF!</definedName>
    <definedName name="区域.2549716_区域" localSheetId="8" hidden="1">#REF!</definedName>
    <definedName name="区域.2549716_区域" localSheetId="9" hidden="1">#REF!</definedName>
    <definedName name="区域.2549716_区域" localSheetId="10" hidden="1">#REF!</definedName>
    <definedName name="区域.2549716_区域" hidden="1">#REF!</definedName>
    <definedName name="区域.2864987" localSheetId="8" hidden="1">[3]其他应收款明细表!#REF!</definedName>
    <definedName name="区域.2864987" localSheetId="9" hidden="1">[4]其他应收款明细表!#REF!</definedName>
    <definedName name="区域.2864987" localSheetId="10" hidden="1">[4]其他应收款明细表!#REF!</definedName>
    <definedName name="区域.2864987" hidden="1">[5]其他应收款明细表!#REF!</definedName>
    <definedName name="区域.366756" localSheetId="2" hidden="1">#REF!</definedName>
    <definedName name="区域.366756" localSheetId="8" hidden="1">#REF!</definedName>
    <definedName name="区域.366756" localSheetId="9" hidden="1">#REF!</definedName>
    <definedName name="区域.366756" localSheetId="10" hidden="1">#REF!</definedName>
    <definedName name="区域.366756" hidden="1">#REF!</definedName>
    <definedName name="区域.366756_区域" localSheetId="2" hidden="1">#REF!</definedName>
    <definedName name="区域.366756_区域" localSheetId="8" hidden="1">#REF!</definedName>
    <definedName name="区域.366756_区域" localSheetId="9" hidden="1">#REF!</definedName>
    <definedName name="区域.366756_区域" localSheetId="10" hidden="1">#REF!</definedName>
    <definedName name="区域.366756_区域" hidden="1">#REF!</definedName>
    <definedName name="区域.524161" localSheetId="2" hidden="1">#REF!</definedName>
    <definedName name="区域.524161" localSheetId="9" hidden="1">#REF!</definedName>
    <definedName name="区域.524161" localSheetId="10" hidden="1">#REF!</definedName>
    <definedName name="区域.524161" hidden="1">#REF!</definedName>
    <definedName name="区域.524161_区域" localSheetId="2" hidden="1">#REF!</definedName>
    <definedName name="区域.524161_区域" localSheetId="9" hidden="1">#REF!</definedName>
    <definedName name="区域.524161_区域" localSheetId="10" hidden="1">#REF!</definedName>
    <definedName name="区域.524161_区域" hidden="1">#REF!</definedName>
    <definedName name="区域.5248684" localSheetId="2" hidden="1">#REF!</definedName>
    <definedName name="区域.5248684" localSheetId="9" hidden="1">#REF!</definedName>
    <definedName name="区域.5248684" localSheetId="10" hidden="1">#REF!</definedName>
    <definedName name="区域.5248684" hidden="1">#REF!</definedName>
    <definedName name="区域.5248684_区域" localSheetId="2" hidden="1">#REF!</definedName>
    <definedName name="区域.5248684_区域" localSheetId="9" hidden="1">#REF!</definedName>
    <definedName name="区域.5248684_区域" localSheetId="10" hidden="1">#REF!</definedName>
    <definedName name="区域.5248684_区域" hidden="1">#REF!</definedName>
    <definedName name="区域.6561115" localSheetId="2" hidden="1">#REF!</definedName>
    <definedName name="区域.6561115" localSheetId="8" hidden="1">#REF!</definedName>
    <definedName name="区域.6561115" localSheetId="9" hidden="1">#REF!</definedName>
    <definedName name="区域.6561115" localSheetId="10" hidden="1">#REF!</definedName>
    <definedName name="区域.6561115" hidden="1">#REF!</definedName>
    <definedName name="区域.6561115_区域" localSheetId="2" hidden="1">#REF!</definedName>
    <definedName name="区域.6561115_区域" localSheetId="8" hidden="1">#REF!</definedName>
    <definedName name="区域.6561115_区域" localSheetId="9" hidden="1">#REF!</definedName>
    <definedName name="区域.6561115_区域" localSheetId="10" hidden="1">#REF!</definedName>
    <definedName name="区域.6561115_区域" hidden="1">#REF!</definedName>
    <definedName name="区域.7233112" localSheetId="2" hidden="1">#REF!</definedName>
    <definedName name="区域.7233112" localSheetId="9" hidden="1">#REF!</definedName>
    <definedName name="区域.7233112" localSheetId="10" hidden="1">#REF!</definedName>
    <definedName name="区域.7233112" hidden="1">#REF!</definedName>
    <definedName name="区域.7233112_区域" localSheetId="2" hidden="1">#REF!</definedName>
    <definedName name="区域.7233112_区域" localSheetId="9" hidden="1">#REF!</definedName>
    <definedName name="区域.7233112_区域" localSheetId="10" hidden="1">#REF!</definedName>
    <definedName name="区域.7233112_区域" hidden="1">#REF!</definedName>
    <definedName name="区域.767787" localSheetId="2" hidden="1">#REF!</definedName>
    <definedName name="区域.767787" localSheetId="9" hidden="1">#REF!</definedName>
    <definedName name="区域.767787" localSheetId="10" hidden="1">#REF!</definedName>
    <definedName name="区域.767787" hidden="1">#REF!</definedName>
    <definedName name="区域.767787_区域" localSheetId="2" hidden="1">#REF!</definedName>
    <definedName name="区域.767787_区域" localSheetId="9" hidden="1">#REF!</definedName>
    <definedName name="区域.767787_区域" localSheetId="10" hidden="1">#REF!</definedName>
    <definedName name="区域.767787_区域" hidden="1">#REF!</definedName>
    <definedName name="区域.8381829" localSheetId="2" hidden="1">#REF!</definedName>
    <definedName name="区域.8381829" localSheetId="9" hidden="1">#REF!</definedName>
    <definedName name="区域.8381829" localSheetId="10" hidden="1">#REF!</definedName>
    <definedName name="区域.8381829" hidden="1">#REF!</definedName>
    <definedName name="区域.8381829_区域" localSheetId="2" hidden="1">#REF!</definedName>
    <definedName name="区域.8381829_区域" localSheetId="9" hidden="1">#REF!</definedName>
    <definedName name="区域.8381829_区域" localSheetId="10" hidden="1">#REF!</definedName>
    <definedName name="区域.8381829_区域" hidden="1">#REF!</definedName>
    <definedName name="区域.854153" localSheetId="2" hidden="1">#REF!</definedName>
    <definedName name="区域.854153" localSheetId="9" hidden="1">#REF!</definedName>
    <definedName name="区域.854153" localSheetId="10" hidden="1">#REF!</definedName>
    <definedName name="区域.854153" hidden="1">#REF!</definedName>
    <definedName name="区域.854153_区域" localSheetId="2" hidden="1">#REF!</definedName>
    <definedName name="区域.854153_区域" localSheetId="9" hidden="1">#REF!</definedName>
    <definedName name="区域.854153_区域" localSheetId="10" hidden="1">#REF!</definedName>
    <definedName name="区域.854153_区域" hidden="1">#REF!</definedName>
    <definedName name="区域.9208905" localSheetId="9" hidden="1">[6]应付账款审定表!#REF!</definedName>
    <definedName name="区域.9208905" localSheetId="10" hidden="1">[6]应付账款审定表!#REF!</definedName>
    <definedName name="区域.9208905" hidden="1">[6]应付账款审定表!#REF!</definedName>
    <definedName name="区域.9208905_区域" localSheetId="9" hidden="1">[6]应付账款审定表!#REF!</definedName>
    <definedName name="区域.9208905_区域" localSheetId="10" hidden="1">[6]应付账款审定表!#REF!</definedName>
    <definedName name="区域.9208905_区域" hidden="1">[6]应付账款审定表!#REF!</definedName>
    <definedName name="区域.9547909" localSheetId="9" hidden="1">[6]应付账款审定表!#REF!</definedName>
    <definedName name="区域.9547909" localSheetId="10" hidden="1">[6]应付账款审定表!#REF!</definedName>
    <definedName name="区域.9547909" hidden="1">[6]应付账款审定表!#REF!</definedName>
    <definedName name="区域.9547909_区域" localSheetId="9" hidden="1">[6]应付账款审定表!#REF!</definedName>
    <definedName name="区域.9547909_区域" localSheetId="10" hidden="1">[6]应付账款审定表!#REF!</definedName>
    <definedName name="区域.9547909_区域" hidden="1">[6]应付账款审定表!#REF!</definedName>
    <definedName name="区域.9859076" localSheetId="2" hidden="1">#REF!</definedName>
    <definedName name="区域.9859076" localSheetId="9" hidden="1">#REF!</definedName>
    <definedName name="区域.9859076" localSheetId="10" hidden="1">#REF!</definedName>
    <definedName name="区域.9859076" hidden="1">#REF!</definedName>
    <definedName name="区域.9859076_区域" localSheetId="2" hidden="1">#REF!</definedName>
    <definedName name="区域.9859076_区域" localSheetId="9" hidden="1">#REF!</definedName>
    <definedName name="区域.9859076_区域" localSheetId="10" hidden="1">#REF!</definedName>
    <definedName name="区域.9859076_区域" hidden="1">#REF!</definedName>
    <definedName name="三级科目">TB!$C$3:$C$3</definedName>
    <definedName name="销售" localSheetId="4" hidden="1">{#N/A,#N/A,FALSE,"负债表"}</definedName>
    <definedName name="销售" hidden="1">{#N/A,#N/A,FALSE,"负债表"}</definedName>
    <definedName name="销售费用检查表" localSheetId="4" hidden="1">{#N/A,#N/A,FALSE,"负债表"}</definedName>
    <definedName name="销售费用检查表" hidden="1">{#N/A,#N/A,FALSE,"负债表"}</definedName>
    <definedName name="应收帐款" localSheetId="4" hidden="1">{#N/A,#N/A,FALSE,"负债表"}</definedName>
    <definedName name="应收帐款" hidden="1">{#N/A,#N/A,FALSE,"负债表"}</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xq pan</author>
  </authors>
  <commentList>
    <comment ref="D4" authorId="0">
      <text>
        <r>
          <rPr>
            <b/>
            <sz val="9"/>
            <rFont val="宋体"/>
            <charset val="134"/>
          </rPr>
          <t>xq pan:</t>
        </r>
        <r>
          <rPr>
            <sz val="9"/>
            <rFont val="宋体"/>
            <charset val="134"/>
          </rPr>
          <t xml:space="preserve">
新增科目，可通过“TB”表增加</t>
        </r>
      </text>
    </comment>
  </commentList>
</comments>
</file>

<file path=xl/comments2.xml><?xml version="1.0" encoding="utf-8"?>
<comments xmlns="http://schemas.openxmlformats.org/spreadsheetml/2006/main">
  <authors>
    <author>陈韵桦</author>
  </authors>
  <commentList>
    <comment ref="I155" authorId="0">
      <text>
        <r>
          <rPr>
            <b/>
            <sz val="9"/>
            <rFont val="宋体"/>
            <charset val="134"/>
          </rPr>
          <t>技术支持和风控部:</t>
        </r>
        <r>
          <rPr>
            <sz val="9"/>
            <rFont val="宋体"/>
            <charset val="134"/>
          </rPr>
          <t xml:space="preserve">
请根据期初数调整情况勾选。</t>
        </r>
      </text>
    </comment>
  </commentList>
</comments>
</file>

<file path=xl/comments3.xml><?xml version="1.0" encoding="utf-8"?>
<comments xmlns="http://schemas.openxmlformats.org/spreadsheetml/2006/main">
  <authors>
    <author>作者</author>
    <author>刘喆</author>
  </authors>
  <commentList>
    <comment ref="E5" authorId="0">
      <text>
        <r>
          <rPr>
            <b/>
            <sz val="8"/>
            <rFont val="宋体"/>
            <charset val="134"/>
          </rPr>
          <t>作者:</t>
        </r>
        <r>
          <rPr>
            <sz val="8"/>
            <rFont val="宋体"/>
            <charset val="134"/>
          </rPr>
          <t xml:space="preserve">
各项金额/本年该费用总额。</t>
        </r>
      </text>
    </comment>
    <comment ref="G5" authorId="0">
      <text>
        <r>
          <rPr>
            <b/>
            <sz val="8"/>
            <rFont val="宋体"/>
            <charset val="134"/>
          </rPr>
          <t>作者:</t>
        </r>
        <r>
          <rPr>
            <sz val="8"/>
            <rFont val="宋体"/>
            <charset val="134"/>
          </rPr>
          <t xml:space="preserve">
各项金额/上年该费用总额。</t>
        </r>
      </text>
    </comment>
    <comment ref="B7" authorId="1">
      <text>
        <r>
          <rPr>
            <b/>
            <sz val="9"/>
            <rFont val="宋体"/>
            <charset val="134"/>
          </rPr>
          <t>技术支持及风控部:</t>
        </r>
        <r>
          <rPr>
            <sz val="9"/>
            <rFont val="宋体"/>
            <charset val="134"/>
          </rPr>
          <t xml:space="preserve">
此单元格勿改勿删。</t>
        </r>
      </text>
    </comment>
  </commentList>
</comments>
</file>

<file path=xl/comments4.xml><?xml version="1.0" encoding="utf-8"?>
<comments xmlns="http://schemas.openxmlformats.org/spreadsheetml/2006/main">
  <authors>
    <author>xq pan</author>
  </authors>
  <commentList>
    <comment ref="B8" authorId="0">
      <text>
        <r>
          <rPr>
            <b/>
            <sz val="9"/>
            <rFont val="宋体"/>
            <charset val="134"/>
          </rPr>
          <t xml:space="preserve">技术支持和风控部:
</t>
        </r>
        <r>
          <rPr>
            <sz val="9"/>
            <rFont val="宋体"/>
            <charset val="134"/>
          </rPr>
          <t>测试结果一般有以下类型：
1、经测试，未见跨期入账现象；
2、经测试，跨期入账金额较小，显著低于微小错报水平，不作调整；
3、经测试，存在大额跨期入账现象，已扩大测试范围，对资产负债表日前后___天大额样本进行测试，并对测试中发现的跨期进行审计调整，调整分录详见调整表。</t>
        </r>
      </text>
    </comment>
  </commentList>
</comments>
</file>

<file path=xl/sharedStrings.xml><?xml version="1.0" encoding="utf-8"?>
<sst xmlns="http://schemas.openxmlformats.org/spreadsheetml/2006/main" count="678" uniqueCount="469">
  <si>
    <t>管理费用审计工作底稿</t>
  </si>
  <si>
    <t>所属会计师事务所： 广东中职信会计师事务所（特殊普通合伙）</t>
  </si>
  <si>
    <t>工作表名</t>
  </si>
  <si>
    <t>工作底稿名称</t>
  </si>
  <si>
    <t>是否需要编制</t>
  </si>
  <si>
    <t>索引号</t>
  </si>
  <si>
    <t>被审计单位：</t>
  </si>
  <si>
    <t>广州钢力金属制品总厂有限公司</t>
  </si>
  <si>
    <t>被审单位简称：</t>
  </si>
  <si>
    <t>钢力金属</t>
  </si>
  <si>
    <t>货币单位：</t>
  </si>
  <si>
    <t>人民币/元</t>
  </si>
  <si>
    <t>4110</t>
  </si>
  <si>
    <t>管理费用程序表</t>
  </si>
  <si>
    <t>是</t>
  </si>
  <si>
    <t>会计期间：</t>
  </si>
  <si>
    <t>2024-1-1至2024-12-31</t>
  </si>
  <si>
    <t>编制人：</t>
  </si>
  <si>
    <t>黄振通</t>
  </si>
  <si>
    <t>日期：</t>
  </si>
  <si>
    <t>2025-1-21</t>
  </si>
  <si>
    <t>4110-1</t>
  </si>
  <si>
    <t>管理费用审计调整分录</t>
  </si>
  <si>
    <t>截止日期：</t>
  </si>
  <si>
    <t>2024-12-31</t>
  </si>
  <si>
    <t>复核人：</t>
  </si>
  <si>
    <t>王裕昆</t>
  </si>
  <si>
    <t>2025-2-10</t>
  </si>
  <si>
    <t>4110-2</t>
  </si>
  <si>
    <t>管理费用审定表</t>
  </si>
  <si>
    <t>4110-3</t>
  </si>
  <si>
    <t>管理费用明细表</t>
  </si>
  <si>
    <t>4110-4</t>
  </si>
  <si>
    <t>管理费用两期对比表</t>
  </si>
  <si>
    <t>4110-5</t>
  </si>
  <si>
    <t>大额管理费用合同检查表</t>
  </si>
  <si>
    <t>4110-6</t>
  </si>
  <si>
    <t>管理费用截止性测试</t>
  </si>
  <si>
    <t>4110-7</t>
  </si>
  <si>
    <t>管理费用凭证抽查表</t>
  </si>
  <si>
    <t>&lt;&lt;</t>
  </si>
  <si>
    <t>管理费用实质性程序</t>
  </si>
  <si>
    <t>索引号：</t>
  </si>
  <si>
    <t>审计目标</t>
  </si>
  <si>
    <t>财务报表认定</t>
  </si>
  <si>
    <t>发生</t>
  </si>
  <si>
    <t>完整性</t>
  </si>
  <si>
    <t>准确性</t>
  </si>
  <si>
    <t>截止</t>
  </si>
  <si>
    <t>分类和列报</t>
  </si>
  <si>
    <t>A</t>
  </si>
  <si>
    <t>利润表中记录的管理费用已发生，且与被审计单位有关。</t>
  </si>
  <si>
    <t>√</t>
  </si>
  <si>
    <t>B</t>
  </si>
  <si>
    <t>所有应当记录的管理费用均已记录。</t>
  </si>
  <si>
    <t>C</t>
  </si>
  <si>
    <t>与管理费用有关的金额及其他数据已恰当记录。</t>
  </si>
  <si>
    <t>D</t>
  </si>
  <si>
    <t>管理费用已记录于正确的会计期间。</t>
  </si>
  <si>
    <t>E</t>
  </si>
  <si>
    <t>管理费用已记录于恰当的账户、已按照企业会计准则的规定在财务报表中作出恰当的列报。</t>
  </si>
  <si>
    <t>计划实施的实质性程序</t>
  </si>
  <si>
    <t>序号</t>
  </si>
  <si>
    <t>实质性程序</t>
  </si>
  <si>
    <t>是否执行</t>
  </si>
  <si>
    <r>
      <rPr>
        <sz val="10"/>
        <rFont val="宋体"/>
        <charset val="134"/>
      </rPr>
      <t>获取或编制管理费用明细表：</t>
    </r>
    <r>
      <rPr>
        <sz val="10"/>
        <rFont val="Arial Narrow"/>
        <charset val="134"/>
      </rPr>
      <t xml:space="preserve">                      </t>
    </r>
    <r>
      <rPr>
        <sz val="10"/>
        <rFont val="宋体"/>
        <charset val="134"/>
      </rPr>
      <t>（</t>
    </r>
    <r>
      <rPr>
        <sz val="10"/>
        <rFont val="Arial Narrow"/>
        <charset val="134"/>
      </rPr>
      <t>1</t>
    </r>
    <r>
      <rPr>
        <sz val="10"/>
        <rFont val="宋体"/>
        <charset val="134"/>
      </rPr>
      <t>）复核加计是否正确，并与报表数、总账数及明细账合计数核对是否相符；</t>
    </r>
    <r>
      <rPr>
        <sz val="10"/>
        <rFont val="Arial Narrow"/>
        <charset val="134"/>
      </rPr>
      <t xml:space="preserve">               </t>
    </r>
    <r>
      <rPr>
        <sz val="10"/>
        <rFont val="宋体"/>
        <charset val="134"/>
      </rPr>
      <t>（</t>
    </r>
    <r>
      <rPr>
        <sz val="10"/>
        <rFont val="Arial Narrow"/>
        <charset val="134"/>
      </rPr>
      <t>2</t>
    </r>
    <r>
      <rPr>
        <sz val="10"/>
        <rFont val="宋体"/>
        <charset val="134"/>
      </rPr>
      <t>）将管理费用中的职工薪酬、无形资产摊销、长期待摊费用摊销额等项目与各有关账户进行核对，分析其勾稽关系的合理性，并作出相应记录。</t>
    </r>
  </si>
  <si>
    <t>ABC</t>
  </si>
  <si>
    <r>
      <rPr>
        <sz val="10"/>
        <rFont val="宋体"/>
        <charset val="134"/>
      </rPr>
      <t>对管理费用进行分析：</t>
    </r>
    <r>
      <rPr>
        <sz val="10"/>
        <rFont val="Arial Narrow"/>
        <charset val="134"/>
      </rPr>
      <t xml:space="preserve">                                             (1)</t>
    </r>
    <r>
      <rPr>
        <sz val="10"/>
        <rFont val="宋体"/>
        <charset val="134"/>
      </rPr>
      <t xml:space="preserve">计算分析管理费用中各项目发生额及占费用总额的比率，将本期、上期管理费用各主要明细项目作比较分析，判断其变动的合理性；
</t>
    </r>
    <r>
      <rPr>
        <sz val="10"/>
        <rFont val="Arial Narrow"/>
        <charset val="134"/>
      </rPr>
      <t>(2)</t>
    </r>
    <r>
      <rPr>
        <sz val="10"/>
        <rFont val="宋体"/>
        <charset val="134"/>
      </rPr>
      <t>将管理费用实际金额与预算金额进行比较；</t>
    </r>
    <r>
      <rPr>
        <sz val="10"/>
        <rFont val="Arial Narrow"/>
        <charset val="134"/>
      </rPr>
      <t xml:space="preserve">  (3)</t>
    </r>
    <r>
      <rPr>
        <sz val="10"/>
        <rFont val="宋体"/>
        <charset val="134"/>
      </rPr>
      <t>比较本期各月份管理费用，对有重大波动和异常情况的项目应查明原因，必要时作适当处理。</t>
    </r>
  </si>
  <si>
    <t>检查管理费用的明细项目的设置是否符合规定的核算内容与范围，结合成本费用的审计，检查是否存在费用分类错误，若有，应提请被审计单位调整</t>
  </si>
  <si>
    <r>
      <rPr>
        <sz val="10"/>
        <rFont val="宋体"/>
        <charset val="134"/>
      </rPr>
      <t>检查公司经费</t>
    </r>
    <r>
      <rPr>
        <sz val="10"/>
        <rFont val="Arial Narrow"/>
        <charset val="134"/>
      </rPr>
      <t>(</t>
    </r>
    <r>
      <rPr>
        <sz val="10"/>
        <rFont val="宋体"/>
        <charset val="134"/>
      </rPr>
      <t>包括行政管理部门职工薪酬、物料消耗、低值易耗品摊销、办公费和差旅费</t>
    </r>
    <r>
      <rPr>
        <sz val="10"/>
        <rFont val="Arial Narrow"/>
        <charset val="134"/>
      </rPr>
      <t>)</t>
    </r>
    <r>
      <rPr>
        <sz val="10"/>
        <rFont val="宋体"/>
        <charset val="134"/>
      </rPr>
      <t>是否系经营管理中发生或应由公司统一负担，检查相关费用报销内部管理办法，是否有合法原始凭证支持。</t>
    </r>
  </si>
  <si>
    <t>检查董事会费（包括董事会成员津贴、会议费和差旅费等），检查相关董事会及股东会决议，是否在合规范围内开支费用。</t>
  </si>
  <si>
    <t>检查聘请中介机构费、咨询费（含顾问费），检查是否按合同规定支付费用，有无涉及到诉讼及赔偿款项支出。</t>
  </si>
  <si>
    <r>
      <rPr>
        <sz val="10"/>
        <rFont val="宋体"/>
        <charset val="134"/>
      </rPr>
      <t>检查诉讼费用并结合或有事项审计</t>
    </r>
    <r>
      <rPr>
        <sz val="10"/>
        <rFont val="Arial Narrow"/>
        <charset val="134"/>
      </rPr>
      <t>,</t>
    </r>
    <r>
      <rPr>
        <sz val="10"/>
        <rFont val="宋体"/>
        <charset val="134"/>
      </rPr>
      <t>检查涉及的相关重大诉讼事项是否已在附注中进行披露，还需进一步关注诉讼状态，判断有无或有负债，或是否存在损失已发生而未入账的事项。</t>
    </r>
  </si>
  <si>
    <t>检查业务招待费的支出是否合理，如超过规定限额，应在计算应纳税所得额时调整。</t>
  </si>
  <si>
    <t>重新计算或检查本期发生的矿产资源补偿费、房产税、土地使用税、印花税等税费，确定其计算是否正确。</t>
  </si>
  <si>
    <t>2160-10</t>
  </si>
  <si>
    <t>结合相关资产的检查，核对筹建期间发生的开办费（包括人员工资、办公费、培训费、差旅费、印刷费、注册登记费以及不计入固定资产成本的借款费用等）是否直接计入管理费用。</t>
  </si>
  <si>
    <t>针对特殊行业，检查排污费等环保费用是否合理计提。</t>
  </si>
  <si>
    <t>选择重要或异常的管理费用，检查费用的开支标准是否符合有关规定，计算是否正确，原始凭证是否合法，会计处理是否正确。</t>
  </si>
  <si>
    <t>BD</t>
  </si>
  <si>
    <t>实施截止性测试，若存在异常迹象，考虑是否有必要追加审计程序，对于重大跨期项目，应作必要调整。
抽取资产负债表日前后天的XX张凭证，实施截止测试，若存在异常迹象，应考虑是否有必要追加审计程序。从资产负债表日后的银行对账单或付款凭证中选取项目进行测试，检查支持性文件（如合同或发票），关注发票日期和支付日期，追踪已选取项目至相关费用明细表，检查费用是否被记录于正确的会计期间。</t>
  </si>
  <si>
    <t>根据评估的舞弊风险等因素增加的其他审计程序。</t>
  </si>
  <si>
    <t>确定管理费用是否已按照企业会计准则的规定在财务报表中作出恰当的列报。</t>
  </si>
  <si>
    <t>分录序号</t>
  </si>
  <si>
    <t>调整事项说明</t>
  </si>
  <si>
    <t>报表科目</t>
  </si>
  <si>
    <t>二级科目</t>
  </si>
  <si>
    <t>三级科目</t>
  </si>
  <si>
    <t>明细项目</t>
  </si>
  <si>
    <t>调  整  金  额</t>
  </si>
  <si>
    <t>备注</t>
  </si>
  <si>
    <t>借  方</t>
  </si>
  <si>
    <t>贷  方</t>
  </si>
  <si>
    <t>[START]</t>
  </si>
  <si>
    <t>G</t>
  </si>
  <si>
    <t>项  目</t>
  </si>
  <si>
    <t>本期未审数</t>
  </si>
  <si>
    <t>审计调整</t>
  </si>
  <si>
    <t>本期审定数</t>
  </si>
  <si>
    <t>上期审定数</t>
  </si>
  <si>
    <t>对比上期变动额</t>
  </si>
  <si>
    <t>变动率</t>
  </si>
  <si>
    <t>管理费用</t>
  </si>
  <si>
    <r>
      <rPr>
        <b/>
        <sz val="10"/>
        <rFont val="宋体"/>
        <charset val="134"/>
      </rPr>
      <t>审计说明</t>
    </r>
    <r>
      <rPr>
        <b/>
        <sz val="10"/>
        <rFont val="宋体"/>
        <charset val="134"/>
      </rPr>
      <t>:</t>
    </r>
  </si>
  <si>
    <t>1、对审定数的分析性复核（即本期数与上期数的变动分析）：具体原因：</t>
  </si>
  <si>
    <t>2、已对管理费用有关明细发生额与相应的计提科目的贷方发生额存在勾稽关系的款项进行配比性的核对与交叉复核，详见“4110-3”</t>
  </si>
  <si>
    <t>3、已编制管理费用明细表，账账、账表核对一致，详见“4110-3”、“4110-4”；</t>
  </si>
  <si>
    <t>4、已取得租赁费、物业费等项目相关的合同等资料，并与被审计单位账面记录进行核对，对于与账面金额存在重大差异的调查分析，详见“4110-5”；</t>
  </si>
  <si>
    <t>5、抽取资产负债表日前后大额发生额的凭证，实施截止测试，确认不存在重大的跨期支出情况，详见“4110-6”；</t>
  </si>
  <si>
    <t>6、对本期发生的管理费用，选取样本（需说明选取样本的原则或者选取样本的计算过程做相关索引），检查其支持性文件，详见“4110-7”；</t>
  </si>
  <si>
    <t>审计调整：</t>
  </si>
  <si>
    <t>无</t>
  </si>
  <si>
    <r>
      <rPr>
        <b/>
        <sz val="10"/>
        <rFont val="宋体"/>
        <charset val="134"/>
      </rPr>
      <t>审计结论</t>
    </r>
    <r>
      <rPr>
        <b/>
        <sz val="10"/>
        <rFont val="宋体"/>
        <charset val="134"/>
      </rPr>
      <t>:</t>
    </r>
  </si>
  <si>
    <t>经审计调整后，发生额可以确认。</t>
  </si>
  <si>
    <t>参见4110-1</t>
  </si>
  <si>
    <t/>
  </si>
  <si>
    <t>经审计调整后，余额可以确认。</t>
  </si>
  <si>
    <t>经审计后，无调整事项，余额可以确认。</t>
  </si>
  <si>
    <t>经审计后，无调整事项，发生额可以确认。</t>
  </si>
  <si>
    <t>经审计测试后，未见异常。</t>
  </si>
  <si>
    <t>经我们审计，除上述说明事项外，未发现其他重大异常。</t>
  </si>
  <si>
    <t>[自定义审计结论1…]</t>
  </si>
  <si>
    <t>[自定义审计结论2…]</t>
  </si>
  <si>
    <t>[自定义审计结论3…]</t>
  </si>
  <si>
    <t>所属单位</t>
  </si>
  <si>
    <t>项目</t>
  </si>
  <si>
    <t>披露项目</t>
  </si>
  <si>
    <t>1月</t>
  </si>
  <si>
    <t>2月</t>
  </si>
  <si>
    <t>3月</t>
  </si>
  <si>
    <t>4月</t>
  </si>
  <si>
    <t>5月</t>
  </si>
  <si>
    <t>6月</t>
  </si>
  <si>
    <t>7月</t>
  </si>
  <si>
    <t>8月</t>
  </si>
  <si>
    <t>9月</t>
  </si>
  <si>
    <t>10月</t>
  </si>
  <si>
    <t>11月</t>
  </si>
  <si>
    <t>12月</t>
  </si>
  <si>
    <t>本期合计</t>
  </si>
  <si>
    <t>调整数</t>
  </si>
  <si>
    <t>审定数</t>
  </si>
  <si>
    <t>比例</t>
  </si>
  <si>
    <t>合计数</t>
  </si>
  <si>
    <t>其他管理费用</t>
  </si>
  <si>
    <t>其他专项费用</t>
  </si>
  <si>
    <t>电费</t>
  </si>
  <si>
    <t>无形资产摊销</t>
  </si>
  <si>
    <t>折旧费</t>
  </si>
  <si>
    <t>评估费</t>
  </si>
  <si>
    <t>审计费</t>
  </si>
  <si>
    <t>审计说明：</t>
  </si>
  <si>
    <t>1、经审计，明细表与审定数金额一致，项目分类与上年一致。</t>
  </si>
  <si>
    <t>2、其他管理费用为支付钢力总厂2024年财产险保险年费。</t>
  </si>
  <si>
    <t>3、其他专项费用为支付离休老干慰问金及资料费。</t>
  </si>
  <si>
    <t>编制说明：</t>
  </si>
  <si>
    <t>1.请在审计说明处说明职工薪酬、折旧、摊销等与资产类相关科目的勾稽性审核情况。</t>
  </si>
  <si>
    <t>2.请在审计说明处结合月度变化，对某月发生的金额重大且存在畸高或畸低的情况进行分析说明。</t>
  </si>
  <si>
    <t>企业账套项目与附注披露项目映射表：</t>
  </si>
  <si>
    <t>不设打印区域：</t>
  </si>
  <si>
    <r>
      <rPr>
        <sz val="10"/>
        <rFont val="宋体"/>
        <charset val="134"/>
      </rPr>
      <t>附注披露项目罗列</t>
    </r>
    <r>
      <rPr>
        <sz val="10"/>
        <color rgb="FFFF0000"/>
        <rFont val="宋体"/>
        <charset val="134"/>
      </rPr>
      <t>（自行修改项目）</t>
    </r>
  </si>
  <si>
    <t>企业账套项目</t>
  </si>
  <si>
    <t>附注披露项目-映射</t>
  </si>
  <si>
    <t>上期审计报告数</t>
  </si>
  <si>
    <t>重要会计政策变更影响额</t>
  </si>
  <si>
    <t>重要前期差错</t>
  </si>
  <si>
    <t>职工薪酬</t>
  </si>
  <si>
    <t>其他</t>
  </si>
  <si>
    <t>合计</t>
  </si>
  <si>
    <t>保险费</t>
  </si>
  <si>
    <t>中小修</t>
  </si>
  <si>
    <t>修理费</t>
  </si>
  <si>
    <t>业务招待费</t>
  </si>
  <si>
    <t>存货盘亏</t>
  </si>
  <si>
    <t>其他办公费</t>
  </si>
  <si>
    <t>办公费</t>
  </si>
  <si>
    <t>办公室电话费</t>
  </si>
  <si>
    <t>差旅费</t>
  </si>
  <si>
    <t>诉讼费</t>
  </si>
  <si>
    <t>聘请中介机构费</t>
  </si>
  <si>
    <t>会议费</t>
  </si>
  <si>
    <t>咨询费</t>
  </si>
  <si>
    <t>律师费</t>
  </si>
  <si>
    <t>其他中介费</t>
  </si>
  <si>
    <t>技术转让费</t>
  </si>
  <si>
    <t>其他广告宣传、展览费</t>
  </si>
  <si>
    <t>董事会费</t>
  </si>
  <si>
    <t>排污费</t>
  </si>
  <si>
    <t>物业管理费</t>
  </si>
  <si>
    <t>网络宽带费</t>
  </si>
  <si>
    <t>其他安全环保费</t>
  </si>
  <si>
    <t>企业文化宣传</t>
  </si>
  <si>
    <t>期初数调整说明：</t>
  </si>
  <si>
    <t>经审核，企业已经按照上年度审计报告进行了跟调，我们认可期初审定数，因此本期不涉及期初审计调整；</t>
  </si>
  <si>
    <t>×</t>
  </si>
  <si>
    <t>经审核，本年度存在会计政策变更事项，需要对期初数进行调整，因此本期对上期审定数作出如下调整（如果笔数过多，可索引至TB）：</t>
  </si>
  <si>
    <t>经审核，本年度存在前期差错更正事项，需要对期初数进行调整，因此本期对上期审定数作出如下调整（如果笔数过多，可索引至TB）：</t>
  </si>
  <si>
    <t>上期</t>
  </si>
  <si>
    <t>本期</t>
  </si>
  <si>
    <t>变动</t>
  </si>
  <si>
    <t>异常变动原因说明</t>
  </si>
  <si>
    <t>金额</t>
  </si>
  <si>
    <t>所占比例</t>
  </si>
  <si>
    <t>变动金额</t>
  </si>
  <si>
    <t>变动比例</t>
  </si>
  <si>
    <t>结构变动</t>
  </si>
  <si>
    <t>E=C-A</t>
  </si>
  <si>
    <t>F=E/A</t>
  </si>
  <si>
    <t>G=D-B</t>
  </si>
  <si>
    <t xml:space="preserve">合计 </t>
  </si>
  <si>
    <t>^</t>
  </si>
  <si>
    <t>1、经审计，未发现重大异常情况，主要项目变动及原因如下。</t>
  </si>
  <si>
    <t>2、“其他”项目变动较大，主要是由于2023支付钢力松岗松岗分厂细岗仔园区2022-2023年环境配套费180,000.00元，本期无该项支出。</t>
  </si>
  <si>
    <t xml:space="preserve">大额管理费用合同检查表      </t>
  </si>
  <si>
    <t>对方单位</t>
  </si>
  <si>
    <t>合同/协议内容</t>
  </si>
  <si>
    <t>合同/协议金额</t>
  </si>
  <si>
    <t xml:space="preserve">合同/协议开始日期 </t>
  </si>
  <si>
    <t xml:space="preserve">合同/协议结束日期 </t>
  </si>
  <si>
    <t>合同总月份</t>
  </si>
  <si>
    <t>本期应计损益</t>
  </si>
  <si>
    <t>本期已计损益</t>
  </si>
  <si>
    <t>差异</t>
  </si>
  <si>
    <t>合同索引</t>
  </si>
  <si>
    <t>合同检查内容：</t>
  </si>
  <si>
    <t>1、取得租赁费、物业费、运输费、修理费、装修费、保险费、咨询费等项目相关的合同等资料。</t>
  </si>
  <si>
    <t>2、将相关资料与被审计单位账面记录进行核对；</t>
  </si>
  <si>
    <t>3、选择重要或异常的销售费用进行测算，对于与账面金额的重大差异进行调查；</t>
  </si>
  <si>
    <t>一、测试目的</t>
  </si>
  <si>
    <t>确定管理费用本期截止性是否正确；是否存在大额跨期项目。</t>
  </si>
  <si>
    <t>二、测试步骤</t>
  </si>
  <si>
    <t>选取截止日前后大额凭证进行的截止性测试（如果公司截止日前几笔和后几笔发生的业务金额很小，如：只有几百元，则选择截止日前几天或后几天发生额较大的业务，测试其是否存在跨期情况）。</t>
  </si>
  <si>
    <t>三、测试结果</t>
  </si>
  <si>
    <r>
      <rPr>
        <sz val="10"/>
        <rFont val="宋体"/>
        <charset val="134"/>
      </rPr>
      <t>日期</t>
    </r>
  </si>
  <si>
    <r>
      <rPr>
        <sz val="10"/>
        <rFont val="宋体"/>
        <charset val="134"/>
      </rPr>
      <t>凭证号</t>
    </r>
  </si>
  <si>
    <r>
      <rPr>
        <sz val="10"/>
        <rFont val="宋体"/>
        <charset val="134"/>
      </rPr>
      <t>内容</t>
    </r>
  </si>
  <si>
    <r>
      <rPr>
        <sz val="10"/>
        <rFont val="宋体"/>
        <charset val="134"/>
      </rPr>
      <t>对应科目</t>
    </r>
  </si>
  <si>
    <r>
      <rPr>
        <sz val="10"/>
        <rFont val="宋体"/>
        <charset val="134"/>
      </rPr>
      <t>金额</t>
    </r>
  </si>
  <si>
    <r>
      <rPr>
        <sz val="10"/>
        <rFont val="宋体"/>
        <charset val="134"/>
      </rPr>
      <t>是否跨期</t>
    </r>
  </si>
  <si>
    <r>
      <rPr>
        <sz val="10"/>
        <rFont val="宋体"/>
        <charset val="134"/>
      </rPr>
      <t>是（</t>
    </r>
    <r>
      <rPr>
        <sz val="10"/>
        <rFont val="Arial Narrow"/>
        <charset val="134"/>
      </rPr>
      <t>√</t>
    </r>
    <r>
      <rPr>
        <sz val="10"/>
        <rFont val="宋体"/>
        <charset val="134"/>
      </rPr>
      <t>）否（</t>
    </r>
    <r>
      <rPr>
        <sz val="10"/>
        <rFont val="Arial Narrow"/>
        <charset val="134"/>
      </rPr>
      <t>×</t>
    </r>
    <r>
      <rPr>
        <sz val="10"/>
        <rFont val="宋体"/>
        <charset val="134"/>
      </rPr>
      <t>）</t>
    </r>
  </si>
  <si>
    <r>
      <rPr>
        <sz val="10"/>
        <rFont val="宋体"/>
        <charset val="134"/>
      </rPr>
      <t>截止日前</t>
    </r>
  </si>
  <si>
    <t xml:space="preserve">---------------------------------------------------------------    </t>
  </si>
  <si>
    <r>
      <rPr>
        <sz val="10"/>
        <rFont val="宋体"/>
        <charset val="134"/>
      </rPr>
      <t>截止日期：</t>
    </r>
    <r>
      <rPr>
        <sz val="10"/>
        <rFont val="Arial Narrow"/>
        <charset val="134"/>
      </rPr>
      <t xml:space="preserve">2023 </t>
    </r>
    <r>
      <rPr>
        <sz val="10"/>
        <rFont val="宋体"/>
        <charset val="134"/>
      </rPr>
      <t>年</t>
    </r>
    <r>
      <rPr>
        <sz val="10"/>
        <rFont val="Arial Narrow"/>
        <charset val="134"/>
      </rPr>
      <t xml:space="preserve"> 12 </t>
    </r>
    <r>
      <rPr>
        <sz val="10"/>
        <rFont val="宋体"/>
        <charset val="134"/>
      </rPr>
      <t>月</t>
    </r>
    <r>
      <rPr>
        <sz val="10"/>
        <rFont val="Arial Narrow"/>
        <charset val="134"/>
      </rPr>
      <t>31</t>
    </r>
    <r>
      <rPr>
        <sz val="10"/>
        <rFont val="宋体"/>
        <charset val="134"/>
      </rPr>
      <t>日</t>
    </r>
    <r>
      <rPr>
        <sz val="10"/>
        <rFont val="Arial Narrow"/>
        <charset val="134"/>
      </rPr>
      <t xml:space="preserve">   </t>
    </r>
  </si>
  <si>
    <t xml:space="preserve"> --------------------------------------------------------------------</t>
  </si>
  <si>
    <r>
      <rPr>
        <sz val="10"/>
        <rFont val="宋体"/>
        <charset val="134"/>
      </rPr>
      <t>截止日后</t>
    </r>
  </si>
  <si>
    <t>记账日期</t>
  </si>
  <si>
    <t>凭证编号</t>
  </si>
  <si>
    <t>业务内容</t>
  </si>
  <si>
    <t>会计科目</t>
  </si>
  <si>
    <t>借方金额</t>
  </si>
  <si>
    <t>贷方金额</t>
  </si>
  <si>
    <r>
      <rPr>
        <sz val="10"/>
        <rFont val="宋体"/>
        <charset val="134"/>
      </rPr>
      <t>核对内容
（用“√”、“</t>
    </r>
    <r>
      <rPr>
        <sz val="10"/>
        <rFont val="Times New Roman"/>
        <charset val="134"/>
      </rPr>
      <t>×</t>
    </r>
    <r>
      <rPr>
        <sz val="10"/>
        <rFont val="宋体"/>
        <charset val="134"/>
      </rPr>
      <t>”</t>
    </r>
    <r>
      <rPr>
        <sz val="10"/>
        <rFont val="宋体"/>
        <charset val="134"/>
      </rPr>
      <t>表示）</t>
    </r>
  </si>
  <si>
    <t>附件</t>
  </si>
  <si>
    <t>2024-05-27</t>
  </si>
  <si>
    <t>2024-05记-0007</t>
  </si>
  <si>
    <t>支付离休老干马永嘉同志花圈费租车费及慰问金</t>
  </si>
  <si>
    <t>管理费用\其他专项费用</t>
  </si>
  <si>
    <t>2024-10-08</t>
  </si>
  <si>
    <t>2024-10记-0004</t>
  </si>
  <si>
    <t>支付珠岛档案室2024年8月电费</t>
  </si>
  <si>
    <t>管理费用\水、电费\电费</t>
  </si>
  <si>
    <t>2024-12-23</t>
  </si>
  <si>
    <t>2024-12记-0002</t>
  </si>
  <si>
    <t>计提本月固定资产折旧</t>
  </si>
  <si>
    <t>管理费用\折旧费</t>
  </si>
  <si>
    <t>2024-12-24</t>
  </si>
  <si>
    <t>2024-12记-0003</t>
  </si>
  <si>
    <t>支付钢力总厂2024年财产险保险年费</t>
  </si>
  <si>
    <t>管理费用\其他管理费用</t>
  </si>
  <si>
    <t>2024-12-27</t>
  </si>
  <si>
    <t>2024-12记-0011</t>
  </si>
  <si>
    <t>计提2023年度无形资产摊销</t>
  </si>
  <si>
    <t>管理费用\无形资产摊销</t>
  </si>
  <si>
    <t>核对内容说明：</t>
  </si>
  <si>
    <r>
      <rPr>
        <sz val="9"/>
        <rFont val="宋体"/>
        <charset val="134"/>
      </rPr>
      <t>1</t>
    </r>
    <r>
      <rPr>
        <sz val="9"/>
        <rFont val="宋体"/>
        <charset val="134"/>
      </rPr>
      <t>、原始凭证是否齐全；</t>
    </r>
    <r>
      <rPr>
        <sz val="9"/>
        <rFont val="宋体"/>
        <charset val="134"/>
      </rPr>
      <t>2</t>
    </r>
    <r>
      <rPr>
        <sz val="9"/>
        <rFont val="宋体"/>
        <charset val="134"/>
      </rPr>
      <t>、记账凭证与原始凭证是否相符；</t>
    </r>
    <r>
      <rPr>
        <sz val="9"/>
        <rFont val="宋体"/>
        <charset val="134"/>
      </rPr>
      <t>3</t>
    </r>
    <r>
      <rPr>
        <sz val="9"/>
        <rFont val="宋体"/>
        <charset val="134"/>
      </rPr>
      <t>、账务处理是否正确；</t>
    </r>
  </si>
  <si>
    <r>
      <rPr>
        <sz val="9"/>
        <rFont val="宋体"/>
        <charset val="134"/>
      </rPr>
      <t>4</t>
    </r>
    <r>
      <rPr>
        <sz val="9"/>
        <rFont val="宋体"/>
        <charset val="134"/>
      </rPr>
      <t>、是否记录于恰当的会计期间；</t>
    </r>
    <r>
      <rPr>
        <sz val="9"/>
        <rFont val="宋体"/>
        <charset val="134"/>
      </rPr>
      <t>5</t>
    </r>
    <r>
      <rPr>
        <sz val="9"/>
        <rFont val="宋体"/>
        <charset val="134"/>
      </rPr>
      <t>、</t>
    </r>
    <r>
      <rPr>
        <sz val="9"/>
        <rFont val="宋体"/>
        <charset val="134"/>
      </rPr>
      <t>………………………………………………………………</t>
    </r>
  </si>
  <si>
    <t>1、经抽查凭证，原始凭证齐全、与记账凭证相符、账务处理正确、记录于恰当的会计期间。</t>
  </si>
  <si>
    <t>报表项目</t>
  </si>
  <si>
    <t>一级科目</t>
  </si>
  <si>
    <t>库存现金</t>
  </si>
  <si>
    <t>存货——原材料</t>
  </si>
  <si>
    <t>应付福利费——#职工奖励及福利基金</t>
  </si>
  <si>
    <t>银行存款</t>
  </si>
  <si>
    <t>存货——库存商品（产成品）</t>
  </si>
  <si>
    <t>其他货币资金</t>
  </si>
  <si>
    <t>其他非流动资产——特准储备物资</t>
  </si>
  <si>
    <t>结算备付金</t>
  </si>
  <si>
    <t>应付职工薪酬——应付工资</t>
  </si>
  <si>
    <t>拆出资金</t>
  </si>
  <si>
    <t>应付职工薪酬——应付福利费</t>
  </si>
  <si>
    <t>交易性金融资产</t>
  </si>
  <si>
    <t>应交税费——应交税金</t>
  </si>
  <si>
    <t>衍生金融资产</t>
  </si>
  <si>
    <t>应付债券——优先股</t>
  </si>
  <si>
    <t>应收票据</t>
  </si>
  <si>
    <t>应付债券——永续债</t>
  </si>
  <si>
    <t>应收票据坏账准备</t>
  </si>
  <si>
    <t>其他非流动负债——特准储备基金</t>
  </si>
  <si>
    <t>应收账款</t>
  </si>
  <si>
    <t>其他权益工具——优先股</t>
  </si>
  <si>
    <t>应收账款坏账准备</t>
  </si>
  <si>
    <t>其他权益工具——永续债</t>
  </si>
  <si>
    <t>应收款项融资</t>
  </si>
  <si>
    <t>其他综合收益——外币报表折算差额</t>
  </si>
  <si>
    <t>应收款项融资坏账准备</t>
  </si>
  <si>
    <t>财务费用——利息费用</t>
  </si>
  <si>
    <t>预付款项</t>
  </si>
  <si>
    <t>财务费用——利息收入</t>
  </si>
  <si>
    <t>预付款项坏账准备</t>
  </si>
  <si>
    <t>财务费用——汇兑净损失</t>
  </si>
  <si>
    <t>应收保费</t>
  </si>
  <si>
    <t>投资收益——对联营企业和合营企业的投资收益</t>
  </si>
  <si>
    <t>应收分保账款</t>
  </si>
  <si>
    <t>投资收益——以摊余成本计量的金融资产终止确认收益</t>
  </si>
  <si>
    <t>应收分保合同准备金</t>
  </si>
  <si>
    <t>营业外收入——政府补助</t>
  </si>
  <si>
    <t>应收资金集中管理款</t>
  </si>
  <si>
    <t>应收利息</t>
  </si>
  <si>
    <t>应收利息坏账准备</t>
  </si>
  <si>
    <t>应收股利</t>
  </si>
  <si>
    <t>应收股利坏账准备</t>
  </si>
  <si>
    <t>其他应收款</t>
  </si>
  <si>
    <t>其他应收款坏账准备</t>
  </si>
  <si>
    <t>买入返售金融资产</t>
  </si>
  <si>
    <t>存货</t>
  </si>
  <si>
    <t>存货跌价准备</t>
  </si>
  <si>
    <t>合同资产</t>
  </si>
  <si>
    <t>合同资产减值准备</t>
  </si>
  <si>
    <t>持有待售资产</t>
  </si>
  <si>
    <t>持有待售资产减值准备</t>
  </si>
  <si>
    <t>一年内到期的非流动资产</t>
  </si>
  <si>
    <t>其他流动资产</t>
  </si>
  <si>
    <t>发放委托贷款及垫款</t>
  </si>
  <si>
    <t>债权投资</t>
  </si>
  <si>
    <t>债权投资减值准备</t>
  </si>
  <si>
    <t>可供出售金融资产</t>
  </si>
  <si>
    <t>可供出售金融资产减值准备</t>
  </si>
  <si>
    <t>其他债权投资</t>
  </si>
  <si>
    <t>其他债权投资减值准备</t>
  </si>
  <si>
    <t>持有至到期投资</t>
  </si>
  <si>
    <t>持有至到期投资减值准备</t>
  </si>
  <si>
    <t>长期应收款</t>
  </si>
  <si>
    <t>长期应收款坏账准备</t>
  </si>
  <si>
    <t>长期股权投资</t>
  </si>
  <si>
    <t>长期股权投资减值准备</t>
  </si>
  <si>
    <t>其他权益工具投资</t>
  </si>
  <si>
    <t>其他非流动金融资产</t>
  </si>
  <si>
    <t>投资性房地产</t>
  </si>
  <si>
    <t>投资性房地产公允价值变动</t>
  </si>
  <si>
    <t>投资性房地产累计折旧</t>
  </si>
  <si>
    <t>投资性房地产减值准备</t>
  </si>
  <si>
    <t>固定资产</t>
  </si>
  <si>
    <t>固定资产累计折旧</t>
  </si>
  <si>
    <t>固定资产减值准备</t>
  </si>
  <si>
    <t>固定资产清理</t>
  </si>
  <si>
    <t>在建工程</t>
  </si>
  <si>
    <t>在建工程减值准备</t>
  </si>
  <si>
    <t>工程物资</t>
  </si>
  <si>
    <t>工程物资减值准备</t>
  </si>
  <si>
    <t>生产性生物资产</t>
  </si>
  <si>
    <t>生产性生物资产累计折旧</t>
  </si>
  <si>
    <t>生产性生物资产减值准备</t>
  </si>
  <si>
    <t>油气资产</t>
  </si>
  <si>
    <t>油气资产累计折耗</t>
  </si>
  <si>
    <t>油气资产减值准备</t>
  </si>
  <si>
    <t>使用权资产</t>
  </si>
  <si>
    <t>使用权资产累计折旧</t>
  </si>
  <si>
    <t>使用权资产减值准备</t>
  </si>
  <si>
    <t>无形资产</t>
  </si>
  <si>
    <t>无形资产累计摊销</t>
  </si>
  <si>
    <t>无形资产减值准备</t>
  </si>
  <si>
    <t>开发支出</t>
  </si>
  <si>
    <t>商誉</t>
  </si>
  <si>
    <t>商誉减值准备</t>
  </si>
  <si>
    <t>长期待摊费用</t>
  </si>
  <si>
    <t>递延所得税资产</t>
  </si>
  <si>
    <t>其他非流动资产</t>
  </si>
  <si>
    <t>短期借款</t>
  </si>
  <si>
    <t>向中央银行借款</t>
  </si>
  <si>
    <t>拆入资金</t>
  </si>
  <si>
    <t>交易性金融负债</t>
  </si>
  <si>
    <t>以公允价值计量且其变动计入当期损益的金融负债</t>
  </si>
  <si>
    <t>衍生金融负债</t>
  </si>
  <si>
    <t>应付票据</t>
  </si>
  <si>
    <t>应付账款</t>
  </si>
  <si>
    <t>预收款项</t>
  </si>
  <si>
    <t>合同负债</t>
  </si>
  <si>
    <t>卖出回购金融资产款</t>
  </si>
  <si>
    <t>吸收存款及同业存放</t>
  </si>
  <si>
    <t>代理买卖证券款</t>
  </si>
  <si>
    <t>代理承销证券款</t>
  </si>
  <si>
    <t>应付职工薪酬</t>
  </si>
  <si>
    <t>应交税费</t>
  </si>
  <si>
    <t>应付利息</t>
  </si>
  <si>
    <t>应付股利</t>
  </si>
  <si>
    <t>其他应付款</t>
  </si>
  <si>
    <t>应付手续费及佣金</t>
  </si>
  <si>
    <t>应付分保账款</t>
  </si>
  <si>
    <t>持有待售负债</t>
  </si>
  <si>
    <t>一年内到期的非流动负债</t>
  </si>
  <si>
    <t>其他流动负债</t>
  </si>
  <si>
    <t>保险合同准备金</t>
  </si>
  <si>
    <t>长期借款</t>
  </si>
  <si>
    <t>应付债券</t>
  </si>
  <si>
    <t>租赁负债</t>
  </si>
  <si>
    <t>未确认融资费用——租赁负债</t>
  </si>
  <si>
    <t>长期应付款</t>
  </si>
  <si>
    <t>未确认融资费用——长期应付款</t>
  </si>
  <si>
    <t>专项应付款</t>
  </si>
  <si>
    <t>长期应付职工薪酬</t>
  </si>
  <si>
    <t>预计负债</t>
  </si>
  <si>
    <t>递延收益</t>
  </si>
  <si>
    <t>递延所得税负债</t>
  </si>
  <si>
    <t>其他非流动负债</t>
  </si>
  <si>
    <t>实收资本（或股本）</t>
  </si>
  <si>
    <t>国家资本</t>
  </si>
  <si>
    <t>国有法人资本</t>
  </si>
  <si>
    <t>集体资本</t>
  </si>
  <si>
    <t>民营资本</t>
  </si>
  <si>
    <t>外商资本</t>
  </si>
  <si>
    <t>#减：已归还投资</t>
  </si>
  <si>
    <t>其他权益工具</t>
  </si>
  <si>
    <t>资本公积</t>
  </si>
  <si>
    <t>库存股</t>
  </si>
  <si>
    <t>其他综合收益</t>
  </si>
  <si>
    <t>专项储备</t>
  </si>
  <si>
    <t>盈余公积</t>
  </si>
  <si>
    <t>法定公积金</t>
  </si>
  <si>
    <t>任意公积金</t>
  </si>
  <si>
    <t>#储备基金</t>
  </si>
  <si>
    <t>#企业发展基金</t>
  </si>
  <si>
    <t>#利润归还投资</t>
  </si>
  <si>
    <t>一般风险准备</t>
  </si>
  <si>
    <t>未分配利润</t>
  </si>
  <si>
    <t>少数股东权益</t>
  </si>
  <si>
    <t>主营业务收入</t>
  </si>
  <si>
    <t>其他业务收入</t>
  </si>
  <si>
    <t>利息收入</t>
  </si>
  <si>
    <t>已赚保费</t>
  </si>
  <si>
    <t>手续费及佣金收入</t>
  </si>
  <si>
    <t>主营业务成本</t>
  </si>
  <si>
    <t>其他业务成本</t>
  </si>
  <si>
    <t>利息支出</t>
  </si>
  <si>
    <t>手续费及佣金支出</t>
  </si>
  <si>
    <t>退保金</t>
  </si>
  <si>
    <t>赔付支出净额</t>
  </si>
  <si>
    <t>提取保险合同准备金净额</t>
  </si>
  <si>
    <t>保单红利支出</t>
  </si>
  <si>
    <t>分保费用</t>
  </si>
  <si>
    <t>税金及附加</t>
  </si>
  <si>
    <t>销售费用</t>
  </si>
  <si>
    <t>研发费用</t>
  </si>
  <si>
    <t>财务费用</t>
  </si>
  <si>
    <t>其他收益</t>
  </si>
  <si>
    <t>投资收益</t>
  </si>
  <si>
    <t>汇兑收益</t>
  </si>
  <si>
    <t>净敞口套期收益</t>
  </si>
  <si>
    <t>公允价值变动收益</t>
  </si>
  <si>
    <t>信用减值损失</t>
  </si>
  <si>
    <t>资产减值损失</t>
  </si>
  <si>
    <t>资产处置收益</t>
  </si>
  <si>
    <t>营业外收入</t>
  </si>
  <si>
    <t>营业外支出</t>
  </si>
  <si>
    <t>所得税费用</t>
  </si>
  <si>
    <t>少数股东损益</t>
  </si>
  <si>
    <t>XX</t>
  </si>
  <si>
    <t>索引号:</t>
  </si>
  <si>
    <t>XXXX-x</t>
  </si>
  <si>
    <t>xxx</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</si>
</sst>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0;\-#,##0;&quot;-&quot;"/>
    <numFmt numFmtId="178" formatCode="_(* #,##0_);_(* \(#,##0\);_(* &quot;-&quot;_);_(@_)"/>
    <numFmt numFmtId="179" formatCode="_(&quot;$&quot;* #,##0_);_(&quot;$&quot;* \(#,##0\);_(&quot;$&quot;* &quot;-&quot;_);_(@_)"/>
    <numFmt numFmtId="180" formatCode="_(&quot;$&quot;* #,##0.00_);_(&quot;$&quot;* \(#,##0.00\);_(&quot;$&quot;* &quot;-&quot;??_);_(@_)"/>
    <numFmt numFmtId="181" formatCode="_ \¥* #,##0.00_ ;_ \¥* \-#,##0.00_ ;_ \¥* &quot;-&quot;??_ ;_ @_ "/>
    <numFmt numFmtId="182" formatCode="_(&quot;$&quot;* #,##0_);_(&quot;$&quot;* \(#,##0\);_(&quot;$&quot;* &quot;-&quot;??_);_(@_)"/>
    <numFmt numFmtId="183" formatCode="mmm\ dd\,\ yy"/>
    <numFmt numFmtId="184" formatCode="_(&quot;$&quot;* #,##0.0_);_(&quot;$&quot;* \(#,##0.0\);_(&quot;$&quot;* &quot;-&quot;??_);_(@_)"/>
    <numFmt numFmtId="185" formatCode="mm/dd/yy_)"/>
    <numFmt numFmtId="186" formatCode="yyyy\-mm\-dd;@"/>
    <numFmt numFmtId="187" formatCode="yyyy/m/d;@"/>
    <numFmt numFmtId="188" formatCode="0.00_ "/>
    <numFmt numFmtId="189" formatCode="[$-F800]dddd\,\ mmmm\ dd\,\ yyyy"/>
    <numFmt numFmtId="190" formatCode="#,##0.00_ "/>
    <numFmt numFmtId="191" formatCode="_ * #,##0.00_ ;_ * \-#,##0.00_ ;_ * &quot; - &quot;??_ ;_ @_ "/>
    <numFmt numFmtId="192" formatCode="#,##0_ "/>
  </numFmts>
  <fonts count="100">
    <font>
      <sz val="12"/>
      <name val="宋体"/>
      <charset val="134"/>
    </font>
    <font>
      <sz val="10"/>
      <name val="宋体"/>
      <charset val="134"/>
      <scheme val="minor"/>
    </font>
    <font>
      <b/>
      <sz val="10"/>
      <name val="宋体"/>
      <charset val="134"/>
      <scheme val="minor"/>
    </font>
    <font>
      <sz val="10"/>
      <name val="Helv"/>
      <charset val="134"/>
    </font>
    <font>
      <sz val="12"/>
      <name val="Arial Narrow"/>
      <charset val="134"/>
    </font>
    <font>
      <b/>
      <sz val="16"/>
      <name val="宋体"/>
      <charset val="134"/>
      <scheme val="minor"/>
    </font>
    <font>
      <b/>
      <sz val="9"/>
      <name val="宋体"/>
      <charset val="134"/>
      <scheme val="minor"/>
    </font>
    <font>
      <b/>
      <sz val="10"/>
      <name val="宋体"/>
      <charset val="134"/>
    </font>
    <font>
      <b/>
      <i/>
      <u/>
      <sz val="10"/>
      <color indexed="10"/>
      <name val="宋体"/>
      <charset val="134"/>
    </font>
    <font>
      <sz val="10"/>
      <color indexed="8"/>
      <name val="宋体"/>
      <charset val="134"/>
    </font>
    <font>
      <sz val="10"/>
      <color indexed="8"/>
      <name val="Times New Roman"/>
      <charset val="134"/>
    </font>
    <font>
      <sz val="10"/>
      <name val="Times New Roman"/>
      <charset val="134"/>
    </font>
    <font>
      <b/>
      <sz val="10"/>
      <color indexed="10"/>
      <name val="Times New Roman"/>
      <charset val="134"/>
    </font>
    <font>
      <sz val="10"/>
      <name val="宋体"/>
      <charset val="134"/>
    </font>
    <font>
      <sz val="10"/>
      <name val="Arial Narrow"/>
      <charset val="134"/>
    </font>
    <font>
      <b/>
      <sz val="10"/>
      <color rgb="FFFF0000"/>
      <name val="宋体"/>
      <charset val="134"/>
      <scheme val="minor"/>
    </font>
    <font>
      <u/>
      <sz val="10"/>
      <color theme="1"/>
      <name val="宋体"/>
      <charset val="134"/>
    </font>
    <font>
      <sz val="10"/>
      <color indexed="10"/>
      <name val="Arial Narrow"/>
      <charset val="134"/>
    </font>
    <font>
      <sz val="11"/>
      <color theme="1"/>
      <name val="宋体"/>
      <charset val="134"/>
    </font>
    <font>
      <b/>
      <sz val="18"/>
      <color theme="1"/>
      <name val="宋体"/>
      <charset val="134"/>
    </font>
    <font>
      <sz val="9"/>
      <name val="宋体"/>
      <charset val="134"/>
    </font>
    <font>
      <b/>
      <u/>
      <sz val="8"/>
      <color indexed="12"/>
      <name val="宋体"/>
      <charset val="134"/>
    </font>
    <font>
      <b/>
      <sz val="16"/>
      <name val="宋体"/>
      <charset val="134"/>
    </font>
    <font>
      <b/>
      <sz val="9"/>
      <name val="宋体"/>
      <charset val="134"/>
    </font>
    <font>
      <b/>
      <sz val="10"/>
      <color rgb="FFFF0000"/>
      <name val="宋体"/>
      <charset val="134"/>
    </font>
    <font>
      <b/>
      <u/>
      <sz val="10"/>
      <color theme="1"/>
      <name val="宋体"/>
      <charset val="134"/>
    </font>
    <font>
      <b/>
      <sz val="10"/>
      <name val="Arial Narrow"/>
      <charset val="134"/>
    </font>
    <font>
      <sz val="10"/>
      <name val="楷体_GB2312"/>
      <charset val="134"/>
    </font>
    <font>
      <sz val="10"/>
      <name val="宋体"/>
      <charset val="134"/>
      <scheme val="major"/>
    </font>
    <font>
      <b/>
      <sz val="10"/>
      <name val="宋体"/>
      <charset val="134"/>
      <scheme val="major"/>
    </font>
    <font>
      <b/>
      <u/>
      <sz val="10"/>
      <color indexed="12"/>
      <name val="宋体"/>
      <charset val="134"/>
    </font>
    <font>
      <b/>
      <sz val="10"/>
      <color indexed="8"/>
      <name val="宋体"/>
      <charset val="134"/>
    </font>
    <font>
      <b/>
      <sz val="10"/>
      <color indexed="62"/>
      <name val="宋体"/>
      <charset val="134"/>
    </font>
    <font>
      <b/>
      <u/>
      <sz val="10"/>
      <color indexed="10"/>
      <name val="宋体"/>
      <charset val="134"/>
    </font>
    <font>
      <b/>
      <sz val="10"/>
      <color indexed="10"/>
      <name val="宋体"/>
      <charset val="134"/>
    </font>
    <font>
      <b/>
      <sz val="10"/>
      <color indexed="22"/>
      <name val="宋体"/>
      <charset val="134"/>
    </font>
    <font>
      <b/>
      <i/>
      <u/>
      <sz val="10"/>
      <color indexed="10"/>
      <name val="Times New Roman"/>
      <charset val="134"/>
    </font>
    <font>
      <sz val="10"/>
      <color indexed="10"/>
      <name val="Times New Roman"/>
      <charset val="134"/>
    </font>
    <font>
      <b/>
      <i/>
      <sz val="10"/>
      <name val="宋体"/>
      <charset val="134"/>
    </font>
    <font>
      <sz val="10"/>
      <color indexed="8"/>
      <name val="Arial Narrow"/>
      <charset val="134"/>
    </font>
    <font>
      <sz val="10"/>
      <color indexed="22"/>
      <name val="Times New Roman"/>
      <charset val="134"/>
    </font>
    <font>
      <b/>
      <sz val="10"/>
      <color rgb="FF000000"/>
      <name val="宋体"/>
      <charset val="134"/>
    </font>
    <font>
      <b/>
      <i/>
      <sz val="10"/>
      <name val="Times New Roman"/>
      <charset val="134"/>
    </font>
    <font>
      <b/>
      <sz val="10"/>
      <name val="Times New Roman"/>
      <charset val="134"/>
    </font>
    <font>
      <sz val="9"/>
      <color indexed="8"/>
      <name val="Times New Roman"/>
      <charset val="134"/>
    </font>
    <font>
      <sz val="10"/>
      <color rgb="FFFF0000"/>
      <name val="宋体"/>
      <charset val="134"/>
    </font>
    <font>
      <sz val="10"/>
      <color indexed="12"/>
      <name val="Arial Narrow"/>
      <charset val="134"/>
    </font>
    <font>
      <b/>
      <sz val="12"/>
      <name val="Arial Narrow"/>
      <charset val="134"/>
    </font>
    <font>
      <sz val="12"/>
      <color indexed="12"/>
      <name val="Arial Narrow"/>
      <charset val="134"/>
    </font>
    <font>
      <sz val="12"/>
      <name val="Times New Roman"/>
      <charset val="134"/>
    </font>
    <font>
      <sz val="10"/>
      <color indexed="12"/>
      <name val="宋体"/>
      <charset val="134"/>
    </font>
    <font>
      <sz val="10"/>
      <color rgb="FF000000"/>
      <name val="Arial Narrow"/>
      <charset val="134"/>
    </font>
    <font>
      <sz val="10"/>
      <color indexed="9"/>
      <name val="宋体"/>
      <charset val="134"/>
    </font>
    <font>
      <sz val="10"/>
      <color indexed="10"/>
      <name val="宋体"/>
      <charset val="134"/>
    </font>
    <font>
      <b/>
      <sz val="12"/>
      <color indexed="8"/>
      <name val="宋体"/>
      <charset val="134"/>
    </font>
    <font>
      <sz val="12"/>
      <color indexed="8"/>
      <name val="宋体"/>
      <charset val="134"/>
    </font>
    <font>
      <b/>
      <sz val="14"/>
      <color indexed="8"/>
      <name val="宋体"/>
      <charset val="134"/>
    </font>
    <font>
      <sz val="10"/>
      <color indexed="8"/>
      <name val="宋体"/>
      <charset val="134"/>
      <scheme val="minor"/>
    </font>
    <font>
      <u/>
      <sz val="10"/>
      <color rgb="FF800080"/>
      <name val="宋体"/>
      <charset val="134"/>
    </font>
    <font>
      <sz val="12"/>
      <color theme="1"/>
      <name val="宋体"/>
      <charset val="134"/>
    </font>
    <font>
      <b/>
      <sz val="10"/>
      <color indexed="8"/>
      <name val="Arial Narrow"/>
      <charset val="134"/>
    </font>
    <font>
      <sz val="10"/>
      <color rgb="FF000000"/>
      <name val="宋体"/>
      <charset val="134"/>
      <scheme val="minor"/>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color indexed="8"/>
      <name val="Arial"/>
      <charset val="134"/>
    </font>
    <font>
      <b/>
      <sz val="12"/>
      <name val="宋体"/>
      <charset val="134"/>
    </font>
    <font>
      <b/>
      <sz val="12"/>
      <name val="Arial"/>
      <charset val="134"/>
    </font>
    <font>
      <sz val="7"/>
      <name val="Small Fonts"/>
      <charset val="134"/>
    </font>
    <font>
      <sz val="8"/>
      <name val="Times New Roman"/>
      <charset val="134"/>
    </font>
    <font>
      <sz val="11"/>
      <color indexed="20"/>
      <name val="宋体"/>
      <charset val="134"/>
    </font>
    <font>
      <sz val="11"/>
      <color indexed="20"/>
      <name val="Tahoma"/>
      <charset val="134"/>
    </font>
    <font>
      <sz val="10"/>
      <name val="MS Sans Serif"/>
      <charset val="134"/>
    </font>
    <font>
      <sz val="11"/>
      <color indexed="8"/>
      <name val="宋体"/>
      <charset val="134"/>
    </font>
    <font>
      <sz val="11"/>
      <color indexed="17"/>
      <name val="宋体"/>
      <charset val="134"/>
    </font>
    <font>
      <sz val="11"/>
      <color indexed="17"/>
      <name val="Tahoma"/>
      <charset val="134"/>
    </font>
    <font>
      <sz val="11"/>
      <name val="蹈框"/>
      <charset val="134"/>
    </font>
    <font>
      <sz val="12"/>
      <name val="바탕체"/>
      <charset val="134"/>
    </font>
    <font>
      <b/>
      <sz val="9"/>
      <name val="宋体"/>
      <charset val="134"/>
    </font>
    <font>
      <sz val="9"/>
      <name val="宋体"/>
      <charset val="134"/>
    </font>
    <font>
      <b/>
      <sz val="8"/>
      <name val="宋体"/>
      <charset val="134"/>
    </font>
    <font>
      <sz val="8"/>
      <name val="宋体"/>
      <charset val="134"/>
    </font>
  </fonts>
  <fills count="46">
    <fill>
      <patternFill patternType="none"/>
    </fill>
    <fill>
      <patternFill patternType="gray125"/>
    </fill>
    <fill>
      <patternFill patternType="solid">
        <fgColor indexed="65"/>
        <bgColor indexed="64"/>
      </patternFill>
    </fill>
    <fill>
      <patternFill patternType="solid">
        <fgColor theme="0" tint="-0.249977111117893"/>
        <bgColor indexed="64"/>
      </patternFill>
    </fill>
    <fill>
      <patternFill patternType="solid">
        <fgColor rgb="FFC5D9F1"/>
        <bgColor indexed="64"/>
      </patternFill>
    </fill>
    <fill>
      <patternFill patternType="solid">
        <fgColor rgb="FFFFFF00"/>
        <bgColor indexed="64"/>
      </patternFill>
    </fill>
    <fill>
      <patternFill patternType="solid">
        <fgColor theme="3" tint="0.799890133365886"/>
        <bgColor indexed="64"/>
      </patternFill>
    </fill>
    <fill>
      <patternFill patternType="solid">
        <fgColor theme="3" tint="0.799829096346934"/>
        <bgColor indexed="64"/>
      </patternFill>
    </fill>
    <fill>
      <patternFill patternType="solid">
        <fgColor theme="0" tint="-0.249977111117893"/>
        <bgColor rgb="FF000000"/>
      </patternFill>
    </fill>
    <fill>
      <patternFill patternType="solid">
        <fgColor indexed="13"/>
        <bgColor indexed="64"/>
      </patternFill>
    </fill>
    <fill>
      <patternFill patternType="solid">
        <fgColor rgb="FFFF0000"/>
        <bgColor indexed="64"/>
      </patternFill>
    </fill>
    <fill>
      <patternFill patternType="solid">
        <fgColor theme="9" tint="0.599993896298105"/>
        <bgColor indexed="64"/>
      </patternFill>
    </fill>
    <fill>
      <patternFill patternType="solid">
        <fgColor theme="4" tint="0.799768059327982"/>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45"/>
        <bgColor indexed="64"/>
      </patternFill>
    </fill>
    <fill>
      <patternFill patternType="solid">
        <fgColor indexed="42"/>
        <bgColor indexed="64"/>
      </patternFill>
    </fill>
  </fills>
  <borders count="72">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medium">
        <color auto="1"/>
      </bottom>
      <diagonal/>
    </border>
    <border>
      <left style="medium">
        <color auto="1"/>
      </left>
      <right style="hair">
        <color auto="1"/>
      </right>
      <top/>
      <bottom style="hair">
        <color auto="1"/>
      </bottom>
      <diagonal/>
    </border>
    <border>
      <left/>
      <right style="hair">
        <color auto="1"/>
      </right>
      <top/>
      <bottom style="hair">
        <color auto="1"/>
      </bottom>
      <diagonal/>
    </border>
    <border>
      <left style="hair">
        <color auto="1"/>
      </left>
      <right/>
      <top style="thin">
        <color auto="1"/>
      </top>
      <bottom style="hair">
        <color auto="1"/>
      </bottom>
      <diagonal/>
    </border>
    <border>
      <left/>
      <right/>
      <top style="thin">
        <color auto="1"/>
      </top>
      <bottom style="hair">
        <color auto="1"/>
      </bottom>
      <diagonal/>
    </border>
    <border>
      <left/>
      <right style="hair">
        <color auto="1"/>
      </right>
      <top style="thin">
        <color auto="1"/>
      </top>
      <bottom style="hair">
        <color auto="1"/>
      </bottom>
      <diagonal/>
    </border>
    <border>
      <left style="hair">
        <color auto="1"/>
      </left>
      <right style="hair">
        <color auto="1"/>
      </right>
      <top/>
      <bottom style="hair">
        <color auto="1"/>
      </bottom>
      <diagonal/>
    </border>
    <border>
      <left style="hair">
        <color auto="1"/>
      </left>
      <right style="hair">
        <color auto="1"/>
      </right>
      <top/>
      <bottom style="medium">
        <color auto="1"/>
      </bottom>
      <diagonal/>
    </border>
    <border>
      <left/>
      <right style="medium">
        <color auto="1"/>
      </right>
      <top/>
      <bottom style="hair">
        <color auto="1"/>
      </bottom>
      <diagonal/>
    </border>
    <border>
      <left style="hair">
        <color auto="1"/>
      </left>
      <right style="medium">
        <color auto="1"/>
      </right>
      <top/>
      <bottom style="hair">
        <color auto="1"/>
      </bottom>
      <diagonal/>
    </border>
    <border>
      <left style="hair">
        <color auto="1"/>
      </left>
      <right style="medium">
        <color auto="1"/>
      </right>
      <top/>
      <bottom style="medium">
        <color auto="1"/>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style="thin">
        <color auto="1"/>
      </bottom>
      <diagonal/>
    </border>
  </borders>
  <cellStyleXfs count="251">
    <xf numFmtId="0" fontId="0" fillId="0" borderId="0"/>
    <xf numFmtId="176" fontId="0" fillId="0" borderId="0" applyFont="0" applyFill="0" applyBorder="0" applyAlignment="0" applyProtection="0"/>
    <xf numFmtId="44" fontId="62" fillId="0" borderId="0" applyFont="0" applyFill="0" applyBorder="0" applyAlignment="0" applyProtection="0">
      <alignment vertical="center"/>
    </xf>
    <xf numFmtId="9" fontId="0" fillId="0" borderId="0" applyFont="0" applyFill="0" applyBorder="0" applyAlignment="0" applyProtection="0">
      <alignment vertical="center"/>
    </xf>
    <xf numFmtId="41" fontId="62" fillId="0" borderId="0" applyFont="0" applyFill="0" applyBorder="0" applyAlignment="0" applyProtection="0">
      <alignment vertical="center"/>
    </xf>
    <xf numFmtId="42" fontId="62" fillId="0" borderId="0" applyFont="0" applyFill="0" applyBorder="0" applyAlignment="0" applyProtection="0">
      <alignment vertical="center"/>
    </xf>
    <xf numFmtId="0" fontId="63" fillId="0" borderId="0" applyNumberFormat="0" applyFill="0" applyBorder="0" applyAlignment="0" applyProtection="0">
      <alignment vertical="top"/>
      <protection locked="0"/>
    </xf>
    <xf numFmtId="0" fontId="64" fillId="0" borderId="0" applyNumberFormat="0" applyFill="0" applyBorder="0" applyAlignment="0" applyProtection="0">
      <alignment vertical="center"/>
    </xf>
    <xf numFmtId="0" fontId="62" fillId="14" borderId="63"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64" applyNumberFormat="0" applyFill="0" applyAlignment="0" applyProtection="0">
      <alignment vertical="center"/>
    </xf>
    <xf numFmtId="0" fontId="69" fillId="0" borderId="64" applyNumberFormat="0" applyFill="0" applyAlignment="0" applyProtection="0">
      <alignment vertical="center"/>
    </xf>
    <xf numFmtId="0" fontId="70" fillId="0" borderId="65" applyNumberFormat="0" applyFill="0" applyAlignment="0" applyProtection="0">
      <alignment vertical="center"/>
    </xf>
    <xf numFmtId="0" fontId="70" fillId="0" borderId="0" applyNumberFormat="0" applyFill="0" applyBorder="0" applyAlignment="0" applyProtection="0">
      <alignment vertical="center"/>
    </xf>
    <xf numFmtId="0" fontId="71" fillId="15" borderId="66" applyNumberFormat="0" applyAlignment="0" applyProtection="0">
      <alignment vertical="center"/>
    </xf>
    <xf numFmtId="0" fontId="72" fillId="16" borderId="67" applyNumberFormat="0" applyAlignment="0" applyProtection="0">
      <alignment vertical="center"/>
    </xf>
    <xf numFmtId="0" fontId="73" fillId="16" borderId="66" applyNumberFormat="0" applyAlignment="0" applyProtection="0">
      <alignment vertical="center"/>
    </xf>
    <xf numFmtId="0" fontId="74" fillId="17" borderId="68" applyNumberFormat="0" applyAlignment="0" applyProtection="0">
      <alignment vertical="center"/>
    </xf>
    <xf numFmtId="0" fontId="75" fillId="0" borderId="69" applyNumberFormat="0" applyFill="0" applyAlignment="0" applyProtection="0">
      <alignment vertical="center"/>
    </xf>
    <xf numFmtId="0" fontId="76" fillId="0" borderId="70" applyNumberFormat="0" applyFill="0" applyAlignment="0" applyProtection="0">
      <alignment vertical="center"/>
    </xf>
    <xf numFmtId="0" fontId="77" fillId="18" borderId="0" applyNumberFormat="0" applyBorder="0" applyAlignment="0" applyProtection="0">
      <alignment vertical="center"/>
    </xf>
    <xf numFmtId="0" fontId="78" fillId="19" borderId="0" applyNumberFormat="0" applyBorder="0" applyAlignment="0" applyProtection="0">
      <alignment vertical="center"/>
    </xf>
    <xf numFmtId="0" fontId="79" fillId="20" borderId="0" applyNumberFormat="0" applyBorder="0" applyAlignment="0" applyProtection="0">
      <alignment vertical="center"/>
    </xf>
    <xf numFmtId="0" fontId="80"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0" fillId="24" borderId="0" applyNumberFormat="0" applyBorder="0" applyAlignment="0" applyProtection="0">
      <alignment vertical="center"/>
    </xf>
    <xf numFmtId="0" fontId="80" fillId="25" borderId="0" applyNumberFormat="0" applyBorder="0" applyAlignment="0" applyProtection="0">
      <alignment vertical="center"/>
    </xf>
    <xf numFmtId="0" fontId="81" fillId="26" borderId="0" applyNumberFormat="0" applyBorder="0" applyAlignment="0" applyProtection="0">
      <alignment vertical="center"/>
    </xf>
    <xf numFmtId="0" fontId="81" fillId="27" borderId="0" applyNumberFormat="0" applyBorder="0" applyAlignment="0" applyProtection="0">
      <alignment vertical="center"/>
    </xf>
    <xf numFmtId="0" fontId="80" fillId="28" borderId="0" applyNumberFormat="0" applyBorder="0" applyAlignment="0" applyProtection="0">
      <alignment vertical="center"/>
    </xf>
    <xf numFmtId="0" fontId="80" fillId="29" borderId="0" applyNumberFormat="0" applyBorder="0" applyAlignment="0" applyProtection="0">
      <alignment vertical="center"/>
    </xf>
    <xf numFmtId="0" fontId="81" fillId="30" borderId="0" applyNumberFormat="0" applyBorder="0" applyAlignment="0" applyProtection="0">
      <alignment vertical="center"/>
    </xf>
    <xf numFmtId="0" fontId="81" fillId="31" borderId="0" applyNumberFormat="0" applyBorder="0" applyAlignment="0" applyProtection="0">
      <alignment vertical="center"/>
    </xf>
    <xf numFmtId="0" fontId="80" fillId="32" borderId="0" applyNumberFormat="0" applyBorder="0" applyAlignment="0" applyProtection="0">
      <alignment vertical="center"/>
    </xf>
    <xf numFmtId="0" fontId="80" fillId="33" borderId="0" applyNumberFormat="0" applyBorder="0" applyAlignment="0" applyProtection="0">
      <alignment vertical="center"/>
    </xf>
    <xf numFmtId="0" fontId="81" fillId="34" borderId="0" applyNumberFormat="0" applyBorder="0" applyAlignment="0" applyProtection="0">
      <alignment vertical="center"/>
    </xf>
    <xf numFmtId="0" fontId="81" fillId="35" borderId="0" applyNumberFormat="0" applyBorder="0" applyAlignment="0" applyProtection="0">
      <alignment vertical="center"/>
    </xf>
    <xf numFmtId="0" fontId="80" fillId="36" borderId="0" applyNumberFormat="0" applyBorder="0" applyAlignment="0" applyProtection="0">
      <alignment vertical="center"/>
    </xf>
    <xf numFmtId="0" fontId="80" fillId="37" borderId="0" applyNumberFormat="0" applyBorder="0" applyAlignment="0" applyProtection="0">
      <alignment vertical="center"/>
    </xf>
    <xf numFmtId="0" fontId="81" fillId="38" borderId="0" applyNumberFormat="0" applyBorder="0" applyAlignment="0" applyProtection="0">
      <alignment vertical="center"/>
    </xf>
    <xf numFmtId="0" fontId="81" fillId="39" borderId="0" applyNumberFormat="0" applyBorder="0" applyAlignment="0" applyProtection="0">
      <alignment vertical="center"/>
    </xf>
    <xf numFmtId="0" fontId="80" fillId="40" borderId="0" applyNumberFormat="0" applyBorder="0" applyAlignment="0" applyProtection="0">
      <alignment vertical="center"/>
    </xf>
    <xf numFmtId="0" fontId="80" fillId="41" borderId="0" applyNumberFormat="0" applyBorder="0" applyAlignment="0" applyProtection="0">
      <alignment vertical="center"/>
    </xf>
    <xf numFmtId="0" fontId="81" fillId="42" borderId="0" applyNumberFormat="0" applyBorder="0" applyAlignment="0" applyProtection="0">
      <alignment vertical="center"/>
    </xf>
    <xf numFmtId="0" fontId="81" fillId="11" borderId="0" applyNumberFormat="0" applyBorder="0" applyAlignment="0" applyProtection="0">
      <alignment vertical="center"/>
    </xf>
    <xf numFmtId="0" fontId="80" fillId="43" borderId="0" applyNumberFormat="0" applyBorder="0" applyAlignment="0" applyProtection="0">
      <alignment vertical="center"/>
    </xf>
    <xf numFmtId="0" fontId="82" fillId="0" borderId="0"/>
    <xf numFmtId="0" fontId="82" fillId="0" borderId="0"/>
    <xf numFmtId="177" fontId="83" fillId="0" borderId="0" applyFill="0" applyBorder="0" applyAlignment="0"/>
    <xf numFmtId="0" fontId="84" fillId="0" borderId="0" applyNumberFormat="0" applyFill="0" applyBorder="0" applyAlignment="0" applyProtection="0"/>
    <xf numFmtId="178" fontId="82" fillId="0" borderId="0" applyFont="0" applyFill="0" applyBorder="0" applyAlignment="0" applyProtection="0"/>
    <xf numFmtId="176" fontId="82" fillId="0" borderId="0" applyFont="0" applyFill="0" applyBorder="0" applyAlignment="0" applyProtection="0"/>
    <xf numFmtId="179" fontId="82" fillId="0" borderId="0" applyFont="0" applyFill="0" applyBorder="0" applyAlignment="0" applyProtection="0"/>
    <xf numFmtId="180" fontId="82" fillId="0" borderId="0" applyFont="0" applyFill="0" applyBorder="0" applyAlignment="0" applyProtection="0"/>
    <xf numFmtId="0" fontId="85" fillId="0" borderId="31" applyNumberFormat="0" applyAlignment="0" applyProtection="0">
      <alignment horizontal="left" vertical="center"/>
    </xf>
    <xf numFmtId="0" fontId="85" fillId="0" borderId="71">
      <alignment horizontal="left" vertical="center"/>
    </xf>
    <xf numFmtId="37" fontId="86" fillId="0" borderId="0"/>
    <xf numFmtId="0" fontId="87" fillId="0" borderId="0"/>
    <xf numFmtId="0" fontId="84" fillId="0" borderId="0" applyNumberFormat="0" applyFill="0" applyBorder="0" applyAlignment="0" applyProtection="0"/>
    <xf numFmtId="9" fontId="0" fillId="0" borderId="0" applyFont="0" applyFill="0" applyBorder="0" applyAlignment="0" applyProtection="0"/>
    <xf numFmtId="9" fontId="0" fillId="0" borderId="0" applyFont="0" applyFill="0" applyBorder="0" applyAlignment="0" applyProtection="0"/>
    <xf numFmtId="0" fontId="88" fillId="44" borderId="0" applyNumberFormat="0" applyBorder="0" applyAlignment="0" applyProtection="0">
      <alignment vertical="center"/>
    </xf>
    <xf numFmtId="0" fontId="89" fillId="44"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13"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9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9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2"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9"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49"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63" fillId="0" borderId="0" applyNumberFormat="0" applyFill="0" applyBorder="0" applyAlignment="0" applyProtection="0">
      <alignment vertical="top"/>
      <protection locked="0"/>
    </xf>
    <xf numFmtId="0" fontId="92" fillId="45" borderId="0" applyNumberFormat="0" applyBorder="0" applyAlignment="0" applyProtection="0">
      <alignment vertical="center"/>
    </xf>
    <xf numFmtId="0" fontId="93" fillId="45" borderId="0" applyNumberFormat="0" applyBorder="0" applyAlignment="0" applyProtection="0">
      <alignment vertical="center"/>
    </xf>
    <xf numFmtId="181" fontId="0" fillId="0" borderId="0" applyFont="0" applyFill="0" applyBorder="0" applyAlignment="0" applyProtection="0">
      <alignment vertical="center"/>
    </xf>
    <xf numFmtId="181" fontId="0" fillId="0" borderId="0" applyFont="0" applyFill="0" applyBorder="0" applyAlignment="0" applyProtection="0">
      <alignment vertical="center"/>
    </xf>
    <xf numFmtId="181" fontId="0" fillId="0" borderId="0" applyFont="0" applyFill="0" applyBorder="0" applyAlignment="0" applyProtection="0">
      <alignment vertical="center"/>
    </xf>
    <xf numFmtId="182" fontId="0" fillId="0" borderId="0" applyFont="0" applyFill="0" applyBorder="0" applyAlignment="0" applyProtection="0"/>
    <xf numFmtId="183" fontId="0" fillId="0" borderId="0" applyFont="0" applyFill="0" applyBorder="0" applyAlignment="0" applyProtection="0"/>
    <xf numFmtId="184" fontId="0" fillId="0" borderId="0" applyFont="0" applyFill="0" applyBorder="0" applyAlignment="0" applyProtection="0"/>
    <xf numFmtId="185" fontId="0" fillId="0" borderId="0" applyFont="0" applyFill="0" applyBorder="0" applyAlignment="0" applyProtection="0"/>
    <xf numFmtId="0" fontId="11" fillId="0" borderId="0"/>
    <xf numFmtId="178" fontId="0" fillId="0" borderId="0" applyFont="0" applyFill="0" applyBorder="0" applyAlignment="0" applyProtection="0"/>
    <xf numFmtId="176" fontId="0" fillId="0" borderId="0" applyFont="0" applyFill="0" applyBorder="0" applyAlignment="0" applyProtection="0"/>
    <xf numFmtId="178"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alignment vertical="center"/>
    </xf>
    <xf numFmtId="176" fontId="0" fillId="0" borderId="0" applyFont="0" applyFill="0" applyBorder="0" applyAlignment="0" applyProtection="0">
      <alignment vertical="center"/>
    </xf>
    <xf numFmtId="0" fontId="94" fillId="0" borderId="0"/>
    <xf numFmtId="0" fontId="83" fillId="0" borderId="0">
      <alignment vertical="top"/>
    </xf>
    <xf numFmtId="38" fontId="0" fillId="0" borderId="0" applyFont="0" applyFill="0" applyBorder="0" applyAlignment="0" applyProtection="0"/>
    <xf numFmtId="40" fontId="0" fillId="0" borderId="0" applyFont="0" applyFill="0" applyBorder="0" applyAlignment="0" applyProtection="0"/>
    <xf numFmtId="0" fontId="0" fillId="0" borderId="0" applyFont="0" applyFill="0" applyBorder="0" applyAlignment="0" applyProtection="0"/>
    <xf numFmtId="0" fontId="0" fillId="0" borderId="0" applyFont="0" applyFill="0" applyBorder="0" applyAlignment="0" applyProtection="0"/>
    <xf numFmtId="0" fontId="95" fillId="0" borderId="0"/>
  </cellStyleXfs>
  <cellXfs count="593">
    <xf numFmtId="0" fontId="0" fillId="0" borderId="0" xfId="0"/>
    <xf numFmtId="0" fontId="1" fillId="0" borderId="0" xfId="211" applyFont="1" applyAlignment="1">
      <alignment vertical="center"/>
    </xf>
    <xf numFmtId="0" fontId="2" fillId="0" borderId="0" xfId="209" applyFont="1" applyAlignment="1">
      <alignment vertical="center"/>
    </xf>
    <xf numFmtId="0" fontId="3" fillId="0" borderId="0" xfId="109" applyFont="1"/>
    <xf numFmtId="0" fontId="4" fillId="0" borderId="0" xfId="69" applyFont="1">
      <alignment vertical="center"/>
    </xf>
    <xf numFmtId="0" fontId="0" fillId="0" borderId="0" xfId="69">
      <alignment vertical="center"/>
    </xf>
    <xf numFmtId="0" fontId="5" fillId="0" borderId="0" xfId="205" applyFont="1" applyAlignment="1">
      <alignment vertical="center"/>
    </xf>
    <xf numFmtId="0" fontId="5" fillId="0" borderId="0" xfId="218" applyFont="1">
      <alignment vertical="center"/>
    </xf>
    <xf numFmtId="0" fontId="6" fillId="0" borderId="0" xfId="211" applyFont="1" applyAlignment="1">
      <alignment horizontal="left" vertical="center"/>
    </xf>
    <xf numFmtId="176" fontId="2" fillId="0" borderId="0" xfId="243" applyFont="1" applyFill="1" applyBorder="1" applyAlignment="1">
      <alignment vertical="center" shrinkToFit="1"/>
    </xf>
    <xf numFmtId="0" fontId="7" fillId="0" borderId="1" xfId="216" applyFont="1" applyBorder="1" applyAlignment="1" applyProtection="1">
      <alignment horizontal="center" vertical="center" wrapText="1"/>
      <protection locked="0"/>
    </xf>
    <xf numFmtId="0" fontId="7" fillId="0" borderId="2" xfId="216" applyFont="1" applyBorder="1" applyAlignment="1" applyProtection="1">
      <alignment horizontal="center" vertical="center" wrapText="1"/>
      <protection locked="0"/>
    </xf>
    <xf numFmtId="49" fontId="7" fillId="0" borderId="3" xfId="207" applyNumberFormat="1" applyFont="1" applyBorder="1" applyAlignment="1">
      <alignment vertical="center"/>
    </xf>
    <xf numFmtId="0" fontId="8" fillId="0" borderId="0" xfId="109" applyFont="1" applyAlignment="1">
      <alignment vertical="center"/>
    </xf>
    <xf numFmtId="0" fontId="9" fillId="0" borderId="4" xfId="214" applyFont="1" applyBorder="1" applyAlignment="1">
      <alignment horizontal="center" vertical="center"/>
    </xf>
    <xf numFmtId="0" fontId="9" fillId="0" borderId="5" xfId="68" applyFont="1" applyBorder="1" applyAlignment="1">
      <alignment horizontal="left" vertical="center"/>
    </xf>
    <xf numFmtId="176" fontId="10" fillId="0" borderId="5" xfId="239" applyFont="1" applyFill="1" applyBorder="1" applyAlignment="1">
      <alignment horizontal="center" vertical="center" shrinkToFit="1"/>
    </xf>
    <xf numFmtId="0" fontId="9" fillId="0" borderId="6" xfId="214" applyFont="1" applyBorder="1" applyAlignment="1">
      <alignment horizontal="center" vertical="center"/>
    </xf>
    <xf numFmtId="0" fontId="9" fillId="0" borderId="7" xfId="68" applyFont="1" applyBorder="1" applyAlignment="1">
      <alignment horizontal="left" vertical="center"/>
    </xf>
    <xf numFmtId="176" fontId="11" fillId="0" borderId="7" xfId="239" applyFont="1" applyFill="1" applyBorder="1" applyAlignment="1" applyProtection="1">
      <alignment horizontal="center" vertical="center" shrinkToFit="1"/>
      <protection locked="0"/>
    </xf>
    <xf numFmtId="0" fontId="12" fillId="0" borderId="0" xfId="115" applyFont="1" applyAlignment="1">
      <alignment horizontal="center"/>
    </xf>
    <xf numFmtId="176" fontId="13" fillId="0" borderId="0" xfId="243" applyFont="1" applyFill="1" applyBorder="1" applyAlignment="1">
      <alignment horizontal="left" vertical="center" shrinkToFit="1"/>
    </xf>
    <xf numFmtId="176" fontId="14" fillId="0" borderId="0" xfId="243" applyFont="1" applyFill="1" applyBorder="1" applyAlignment="1">
      <alignment horizontal="left" vertical="center" shrinkToFit="1"/>
    </xf>
    <xf numFmtId="176" fontId="14" fillId="0" borderId="0" xfId="243" applyFont="1" applyFill="1" applyBorder="1" applyAlignment="1">
      <alignment horizontal="center" vertical="center" shrinkToFit="1"/>
    </xf>
    <xf numFmtId="176" fontId="13" fillId="0" borderId="8" xfId="243" applyFont="1" applyFill="1" applyBorder="1" applyAlignment="1">
      <alignment horizontal="left" vertical="center" shrinkToFit="1"/>
    </xf>
    <xf numFmtId="176" fontId="14" fillId="0" borderId="9" xfId="243" applyFont="1" applyFill="1" applyBorder="1" applyAlignment="1">
      <alignment horizontal="left" vertical="center" shrinkToFit="1"/>
    </xf>
    <xf numFmtId="176" fontId="14" fillId="0" borderId="9" xfId="243" applyFont="1" applyFill="1" applyBorder="1" applyAlignment="1">
      <alignment horizontal="center" vertical="center" shrinkToFit="1"/>
    </xf>
    <xf numFmtId="176" fontId="13" fillId="0" borderId="10" xfId="243" applyFont="1" applyFill="1" applyBorder="1" applyAlignment="1">
      <alignment horizontal="left" vertical="center" shrinkToFit="1"/>
    </xf>
    <xf numFmtId="176" fontId="14" fillId="0" borderId="0" xfId="243" applyFont="1" applyFill="1" applyBorder="1" applyAlignment="1">
      <alignment vertical="top" wrapText="1" shrinkToFit="1"/>
    </xf>
    <xf numFmtId="176" fontId="14" fillId="0" borderId="10" xfId="243" applyFont="1" applyFill="1" applyBorder="1" applyAlignment="1">
      <alignment vertical="top" wrapText="1" shrinkToFit="1"/>
    </xf>
    <xf numFmtId="0" fontId="4" fillId="0" borderId="11" xfId="69" applyFont="1" applyBorder="1">
      <alignment vertical="center"/>
    </xf>
    <xf numFmtId="0" fontId="4" fillId="0" borderId="12" xfId="69" applyFont="1" applyBorder="1">
      <alignment vertical="center"/>
    </xf>
    <xf numFmtId="0" fontId="2" fillId="0" borderId="0" xfId="209" applyFont="1" applyAlignment="1">
      <alignment horizontal="right" vertical="center"/>
    </xf>
    <xf numFmtId="49" fontId="15" fillId="0" borderId="0" xfId="211" applyNumberFormat="1" applyFont="1" applyAlignment="1">
      <alignment horizontal="left" vertical="center"/>
    </xf>
    <xf numFmtId="0" fontId="2" fillId="0" borderId="0" xfId="209" applyFont="1" applyAlignment="1">
      <alignment horizontal="left" vertical="center"/>
    </xf>
    <xf numFmtId="49" fontId="7" fillId="0" borderId="13" xfId="207" applyNumberFormat="1" applyFont="1" applyBorder="1" applyAlignment="1">
      <alignment vertical="center"/>
    </xf>
    <xf numFmtId="0" fontId="11" fillId="0" borderId="14" xfId="216" applyFont="1" applyBorder="1" applyAlignment="1">
      <alignment vertical="center"/>
    </xf>
    <xf numFmtId="0" fontId="11" fillId="0" borderId="15" xfId="216" applyFont="1" applyBorder="1" applyAlignment="1">
      <alignment vertical="center"/>
    </xf>
    <xf numFmtId="176" fontId="14" fillId="0" borderId="16" xfId="243" applyFont="1" applyFill="1" applyBorder="1" applyAlignment="1">
      <alignment horizontal="center" vertical="center" shrinkToFit="1"/>
    </xf>
    <xf numFmtId="176" fontId="14" fillId="0" borderId="17" xfId="243" applyFont="1" applyFill="1" applyBorder="1" applyAlignment="1">
      <alignment horizontal="center" vertical="center" shrinkToFit="1"/>
    </xf>
    <xf numFmtId="176" fontId="14" fillId="0" borderId="17" xfId="243" applyFont="1" applyFill="1" applyBorder="1" applyAlignment="1">
      <alignment vertical="top" wrapText="1" shrinkToFit="1"/>
    </xf>
    <xf numFmtId="0" fontId="4" fillId="0" borderId="18" xfId="69" applyFont="1" applyBorder="1">
      <alignment vertical="center"/>
    </xf>
    <xf numFmtId="0" fontId="16" fillId="0" borderId="0" xfId="219" applyFont="1" applyFill="1" applyBorder="1" applyAlignment="1" applyProtection="1">
      <alignment vertical="center"/>
    </xf>
    <xf numFmtId="186" fontId="2" fillId="0" borderId="0" xfId="209" applyNumberFormat="1" applyFont="1" applyAlignment="1">
      <alignment horizontal="left" vertical="center" shrinkToFit="1"/>
    </xf>
    <xf numFmtId="176" fontId="17" fillId="0" borderId="0" xfId="243" applyFont="1" applyFill="1" applyBorder="1" applyAlignment="1">
      <alignment horizontal="center" vertical="center" shrinkToFit="1"/>
    </xf>
    <xf numFmtId="0" fontId="18" fillId="0" borderId="0" xfId="192" applyFont="1" applyAlignment="1">
      <alignment horizontal="center" vertical="center"/>
    </xf>
    <xf numFmtId="0" fontId="18" fillId="0" borderId="0" xfId="192" applyFont="1" applyAlignment="1">
      <alignment vertical="center"/>
    </xf>
    <xf numFmtId="0" fontId="19" fillId="0" borderId="0" xfId="192" applyFont="1" applyAlignment="1">
      <alignment vertical="center"/>
    </xf>
    <xf numFmtId="0" fontId="18" fillId="0" borderId="19" xfId="192" applyFont="1" applyBorder="1" applyAlignment="1">
      <alignment horizontal="center" vertical="center"/>
    </xf>
    <xf numFmtId="0" fontId="18" fillId="0" borderId="3" xfId="192" applyFont="1" applyBorder="1" applyAlignment="1">
      <alignment horizontal="center" vertical="center"/>
    </xf>
    <xf numFmtId="0" fontId="18" fillId="0" borderId="13" xfId="192" applyFont="1" applyBorder="1" applyAlignment="1">
      <alignment horizontal="center" vertical="center"/>
    </xf>
    <xf numFmtId="0" fontId="18" fillId="0" borderId="4" xfId="192" applyFont="1" applyBorder="1" applyAlignment="1">
      <alignment vertical="center"/>
    </xf>
    <xf numFmtId="0" fontId="18" fillId="0" borderId="5" xfId="192" applyFont="1" applyBorder="1" applyAlignment="1">
      <alignment vertical="center"/>
    </xf>
    <xf numFmtId="0" fontId="18" fillId="0" borderId="14" xfId="192" applyFont="1" applyBorder="1" applyAlignment="1">
      <alignment vertical="center"/>
    </xf>
    <xf numFmtId="0" fontId="18" fillId="0" borderId="6" xfId="192" applyFont="1" applyBorder="1" applyAlignment="1">
      <alignment vertical="center"/>
    </xf>
    <xf numFmtId="0" fontId="18" fillId="0" borderId="7" xfId="192" applyFont="1" applyBorder="1" applyAlignment="1">
      <alignment vertical="center"/>
    </xf>
    <xf numFmtId="0" fontId="18" fillId="0" borderId="15" xfId="192" applyFont="1" applyBorder="1" applyAlignment="1">
      <alignment vertical="center"/>
    </xf>
    <xf numFmtId="0" fontId="7" fillId="2" borderId="0" xfId="108" applyFont="1" applyFill="1"/>
    <xf numFmtId="0" fontId="0" fillId="0" borderId="0" xfId="108"/>
    <xf numFmtId="0" fontId="20" fillId="0" borderId="0" xfId="108" applyFont="1"/>
    <xf numFmtId="0" fontId="13" fillId="0" borderId="0" xfId="108" applyFont="1"/>
    <xf numFmtId="0" fontId="21" fillId="2" borderId="0" xfId="6" applyNumberFormat="1" applyFont="1" applyFill="1" applyBorder="1" applyAlignment="1" applyProtection="1">
      <alignment horizontal="left" vertical="center"/>
    </xf>
    <xf numFmtId="0" fontId="22" fillId="2" borderId="0" xfId="212" applyFont="1" applyFill="1">
      <alignment vertical="center"/>
    </xf>
    <xf numFmtId="0" fontId="7" fillId="2" borderId="0" xfId="212" applyFont="1" applyFill="1">
      <alignment vertical="center"/>
    </xf>
    <xf numFmtId="0" fontId="23" fillId="2" borderId="0" xfId="0" applyFont="1" applyFill="1" applyAlignment="1">
      <alignment horizontal="left" vertical="center"/>
    </xf>
    <xf numFmtId="0" fontId="7" fillId="2" borderId="0" xfId="0" applyFont="1" applyFill="1" applyAlignment="1">
      <alignment horizontal="left" vertical="center"/>
    </xf>
    <xf numFmtId="0" fontId="7" fillId="2" borderId="0" xfId="212" applyFont="1" applyFill="1" applyAlignment="1">
      <alignment horizontal="left" vertical="center"/>
    </xf>
    <xf numFmtId="0" fontId="13" fillId="3" borderId="20" xfId="212" applyFont="1" applyFill="1" applyBorder="1" applyAlignment="1">
      <alignment horizontal="center" vertical="center"/>
    </xf>
    <xf numFmtId="0" fontId="13" fillId="3" borderId="21" xfId="212" applyFont="1" applyFill="1" applyBorder="1" applyAlignment="1">
      <alignment horizontal="center" vertical="center"/>
    </xf>
    <xf numFmtId="0" fontId="13" fillId="3" borderId="21" xfId="212" applyFont="1" applyFill="1" applyBorder="1" applyAlignment="1">
      <alignment horizontal="center" vertical="center" wrapText="1"/>
    </xf>
    <xf numFmtId="0" fontId="11" fillId="3" borderId="22" xfId="212" applyFont="1" applyFill="1" applyBorder="1" applyAlignment="1">
      <alignment horizontal="center" vertical="center"/>
    </xf>
    <xf numFmtId="0" fontId="11" fillId="3" borderId="23" xfId="212" applyFont="1" applyFill="1" applyBorder="1" applyAlignment="1">
      <alignment horizontal="center" vertical="center"/>
    </xf>
    <xf numFmtId="0" fontId="13" fillId="0" borderId="22" xfId="212" applyFont="1" applyBorder="1" applyAlignment="1">
      <alignment horizontal="center" vertical="center" shrinkToFit="1"/>
    </xf>
    <xf numFmtId="0" fontId="11" fillId="0" borderId="23" xfId="212" applyFont="1" applyBorder="1" applyAlignment="1">
      <alignment horizontal="left" vertical="center"/>
    </xf>
    <xf numFmtId="0" fontId="13" fillId="0" borderId="23" xfId="212" applyFont="1" applyBorder="1" applyAlignment="1">
      <alignment horizontal="left" vertical="center" wrapText="1"/>
    </xf>
    <xf numFmtId="176" fontId="14" fillId="0" borderId="23" xfId="234" applyFont="1" applyFill="1" applyBorder="1" applyAlignment="1">
      <alignment horizontal="right" vertical="center" shrinkToFit="1"/>
    </xf>
    <xf numFmtId="0" fontId="11" fillId="0" borderId="23" xfId="212" applyFont="1" applyBorder="1">
      <alignment vertical="center"/>
    </xf>
    <xf numFmtId="176" fontId="14" fillId="0" borderId="23" xfId="212" applyNumberFormat="1" applyFont="1" applyBorder="1" applyAlignment="1">
      <alignment horizontal="right" vertical="center" shrinkToFit="1"/>
    </xf>
    <xf numFmtId="0" fontId="11" fillId="0" borderId="22" xfId="212" applyFont="1" applyBorder="1">
      <alignment vertical="center"/>
    </xf>
    <xf numFmtId="187" fontId="11" fillId="0" borderId="23" xfId="212" applyNumberFormat="1" applyFont="1" applyBorder="1">
      <alignment vertical="center"/>
    </xf>
    <xf numFmtId="0" fontId="11" fillId="0" borderId="24" xfId="212" applyFont="1" applyBorder="1">
      <alignment vertical="center"/>
    </xf>
    <xf numFmtId="187" fontId="11" fillId="0" borderId="25" xfId="212" applyNumberFormat="1" applyFont="1" applyBorder="1">
      <alignment vertical="center"/>
    </xf>
    <xf numFmtId="0" fontId="11" fillId="0" borderId="25" xfId="212" applyFont="1" applyBorder="1">
      <alignment vertical="center"/>
    </xf>
    <xf numFmtId="0" fontId="13" fillId="0" borderId="25" xfId="212" applyFont="1" applyBorder="1" applyAlignment="1">
      <alignment horizontal="left" vertical="center" wrapText="1"/>
    </xf>
    <xf numFmtId="176" fontId="14" fillId="0" borderId="25" xfId="212" applyNumberFormat="1" applyFont="1" applyBorder="1" applyAlignment="1">
      <alignment horizontal="right" vertical="center" shrinkToFit="1"/>
    </xf>
    <xf numFmtId="0" fontId="20" fillId="0" borderId="9" xfId="212" applyFont="1" applyBorder="1" applyAlignment="1">
      <alignment horizontal="left" vertical="center"/>
    </xf>
    <xf numFmtId="0" fontId="20" fillId="0" borderId="9" xfId="212" applyFont="1" applyBorder="1">
      <alignment vertical="center"/>
    </xf>
    <xf numFmtId="0" fontId="20" fillId="0" borderId="0" xfId="212" applyFont="1" applyAlignment="1">
      <alignment horizontal="center" vertical="center"/>
    </xf>
    <xf numFmtId="0" fontId="20" fillId="0" borderId="0" xfId="212" applyFont="1">
      <alignment vertical="center"/>
    </xf>
    <xf numFmtId="0" fontId="7" fillId="0" borderId="0" xfId="212" applyFont="1">
      <alignment vertical="center"/>
    </xf>
    <xf numFmtId="0" fontId="13" fillId="0" borderId="0" xfId="212" applyFont="1">
      <alignment vertical="center"/>
    </xf>
    <xf numFmtId="0" fontId="11" fillId="0" borderId="0" xfId="212" applyFont="1">
      <alignment vertical="center"/>
    </xf>
    <xf numFmtId="0" fontId="13" fillId="0" borderId="8" xfId="203" applyFont="1" applyBorder="1" applyAlignment="1">
      <alignment horizontal="left" vertical="center"/>
    </xf>
    <xf numFmtId="0" fontId="13" fillId="0" borderId="9" xfId="203" applyFont="1" applyBorder="1" applyAlignment="1">
      <alignment horizontal="center" vertical="center"/>
    </xf>
    <xf numFmtId="0" fontId="13" fillId="0" borderId="9" xfId="203" applyFont="1" applyBorder="1" applyAlignment="1">
      <alignment horizontal="left" vertical="center"/>
    </xf>
    <xf numFmtId="0" fontId="13" fillId="0" borderId="10" xfId="203" applyFont="1" applyBorder="1" applyAlignment="1">
      <alignment horizontal="left" vertical="center"/>
    </xf>
    <xf numFmtId="0" fontId="13" fillId="0" borderId="0" xfId="203" applyFont="1" applyAlignment="1">
      <alignment horizontal="left" vertical="center"/>
    </xf>
    <xf numFmtId="0" fontId="13" fillId="0" borderId="11" xfId="203" applyFont="1" applyBorder="1" applyAlignment="1">
      <alignment horizontal="left" vertical="center"/>
    </xf>
    <xf numFmtId="0" fontId="13" fillId="0" borderId="12" xfId="203" applyFont="1" applyBorder="1" applyAlignment="1">
      <alignment horizontal="left" vertical="center"/>
    </xf>
    <xf numFmtId="0" fontId="7" fillId="2" borderId="0" xfId="212" applyFont="1" applyFill="1" applyAlignment="1">
      <alignment horizontal="right" vertical="center"/>
    </xf>
    <xf numFmtId="0" fontId="24" fillId="2" borderId="0" xfId="210" applyFont="1" applyFill="1" applyAlignment="1">
      <alignment horizontal="left" vertical="center"/>
    </xf>
    <xf numFmtId="0" fontId="25" fillId="2" borderId="0" xfId="6" applyFont="1" applyFill="1" applyBorder="1" applyAlignment="1" applyProtection="1">
      <alignment horizontal="center" vertical="center"/>
    </xf>
    <xf numFmtId="49" fontId="7" fillId="2" borderId="0" xfId="210" applyNumberFormat="1" applyFont="1" applyFill="1" applyAlignment="1">
      <alignment horizontal="left" vertical="center"/>
    </xf>
    <xf numFmtId="186" fontId="7" fillId="2" borderId="0" xfId="212" applyNumberFormat="1" applyFont="1" applyFill="1" applyAlignment="1">
      <alignment horizontal="right" vertical="center" shrinkToFit="1"/>
    </xf>
    <xf numFmtId="0" fontId="11" fillId="3" borderId="21" xfId="212" applyFont="1" applyFill="1" applyBorder="1" applyAlignment="1">
      <alignment horizontal="center" vertical="center"/>
    </xf>
    <xf numFmtId="0" fontId="13" fillId="3" borderId="26" xfId="212" applyFont="1" applyFill="1" applyBorder="1" applyAlignment="1">
      <alignment horizontal="center" vertical="center" wrapText="1"/>
    </xf>
    <xf numFmtId="0" fontId="11" fillId="3" borderId="27" xfId="212" applyFont="1" applyFill="1" applyBorder="1" applyAlignment="1">
      <alignment horizontal="center" vertical="center" wrapText="1"/>
    </xf>
    <xf numFmtId="0" fontId="11" fillId="4" borderId="23" xfId="212" applyFont="1" applyFill="1" applyBorder="1" applyAlignment="1">
      <alignment horizontal="center" vertical="center"/>
    </xf>
    <xf numFmtId="0" fontId="11" fillId="4" borderId="23" xfId="212" applyFont="1" applyFill="1" applyBorder="1">
      <alignment vertical="center"/>
    </xf>
    <xf numFmtId="0" fontId="13" fillId="0" borderId="27" xfId="212" applyFont="1" applyBorder="1">
      <alignment vertical="center"/>
    </xf>
    <xf numFmtId="0" fontId="11" fillId="0" borderId="27" xfId="212" applyFont="1" applyBorder="1">
      <alignment vertical="center"/>
    </xf>
    <xf numFmtId="0" fontId="11" fillId="4" borderId="25" xfId="212" applyFont="1" applyFill="1" applyBorder="1">
      <alignment vertical="center"/>
    </xf>
    <xf numFmtId="0" fontId="11" fillId="0" borderId="28" xfId="212" applyFont="1" applyBorder="1">
      <alignment vertical="center"/>
    </xf>
    <xf numFmtId="0" fontId="13" fillId="0" borderId="16" xfId="203" applyFont="1" applyBorder="1" applyAlignment="1">
      <alignment horizontal="left" vertical="center"/>
    </xf>
    <xf numFmtId="0" fontId="13" fillId="0" borderId="17" xfId="203" applyFont="1" applyBorder="1" applyAlignment="1">
      <alignment horizontal="left" vertical="center"/>
    </xf>
    <xf numFmtId="0" fontId="13" fillId="0" borderId="18" xfId="203" applyFont="1" applyBorder="1" applyAlignment="1">
      <alignment horizontal="left" vertical="center"/>
    </xf>
    <xf numFmtId="0" fontId="7" fillId="2" borderId="0" xfId="210" applyFont="1" applyFill="1" applyAlignment="1">
      <alignment vertical="center"/>
    </xf>
    <xf numFmtId="0" fontId="7" fillId="0" borderId="0" xfId="210" applyFont="1" applyAlignment="1">
      <alignment vertical="center"/>
    </xf>
    <xf numFmtId="0" fontId="4" fillId="0" borderId="0" xfId="108" applyFont="1"/>
    <xf numFmtId="0" fontId="21" fillId="2" borderId="0" xfId="6" applyNumberFormat="1" applyFont="1" applyFill="1" applyBorder="1" applyAlignment="1" applyProtection="1">
      <alignment vertical="center"/>
    </xf>
    <xf numFmtId="0" fontId="22" fillId="2" borderId="0" xfId="217" applyFont="1" applyFill="1">
      <alignment vertical="center"/>
    </xf>
    <xf numFmtId="0" fontId="7" fillId="2" borderId="0" xfId="217" applyFont="1" applyFill="1">
      <alignment vertical="center"/>
    </xf>
    <xf numFmtId="0" fontId="7" fillId="2" borderId="0" xfId="208" applyFont="1" applyFill="1" applyAlignment="1">
      <alignment horizontal="right" vertical="center"/>
    </xf>
    <xf numFmtId="0" fontId="7" fillId="2" borderId="0" xfId="210" applyFont="1" applyFill="1" applyAlignment="1">
      <alignment horizontal="left" vertical="center"/>
    </xf>
    <xf numFmtId="0" fontId="7" fillId="2" borderId="12" xfId="208" applyFont="1" applyFill="1" applyBorder="1" applyAlignment="1">
      <alignment vertical="center"/>
    </xf>
    <xf numFmtId="0" fontId="7" fillId="2" borderId="12" xfId="210" applyFont="1" applyFill="1" applyBorder="1" applyAlignment="1">
      <alignment vertical="center"/>
    </xf>
    <xf numFmtId="0" fontId="7" fillId="2" borderId="12" xfId="208" applyFont="1" applyFill="1" applyBorder="1" applyAlignment="1">
      <alignment horizontal="right" vertical="center"/>
    </xf>
    <xf numFmtId="188" fontId="7" fillId="2" borderId="12" xfId="1" applyNumberFormat="1" applyFont="1" applyFill="1" applyBorder="1" applyAlignment="1">
      <alignment horizontal="left" vertical="center"/>
    </xf>
    <xf numFmtId="189" fontId="7" fillId="2" borderId="12" xfId="210" applyNumberFormat="1" applyFont="1" applyFill="1" applyBorder="1" applyAlignment="1">
      <alignment horizontal="right" vertical="center" shrinkToFit="1"/>
    </xf>
    <xf numFmtId="0" fontId="7" fillId="0" borderId="29" xfId="208" applyFont="1" applyBorder="1" applyAlignment="1">
      <alignment vertical="center"/>
    </xf>
    <xf numFmtId="0" fontId="13" fillId="0" borderId="30" xfId="210" applyFont="1" applyBorder="1" applyAlignment="1">
      <alignment horizontal="left" vertical="center"/>
    </xf>
    <xf numFmtId="0" fontId="13" fillId="0" borderId="31" xfId="210" applyFont="1" applyBorder="1" applyAlignment="1">
      <alignment horizontal="left" vertical="center"/>
    </xf>
    <xf numFmtId="0" fontId="13" fillId="0" borderId="32" xfId="210" applyFont="1" applyBorder="1" applyAlignment="1">
      <alignment horizontal="left" vertical="center"/>
    </xf>
    <xf numFmtId="0" fontId="7" fillId="0" borderId="10" xfId="208" applyFont="1" applyBorder="1" applyAlignment="1">
      <alignment vertical="center"/>
    </xf>
    <xf numFmtId="0" fontId="7" fillId="0" borderId="0" xfId="208" applyFont="1" applyAlignment="1">
      <alignment vertical="center"/>
    </xf>
    <xf numFmtId="0" fontId="7" fillId="0" borderId="0" xfId="208" applyFont="1" applyAlignment="1">
      <alignment horizontal="right" vertical="center"/>
    </xf>
    <xf numFmtId="188" fontId="7" fillId="0" borderId="0" xfId="1" applyNumberFormat="1" applyFont="1" applyFill="1" applyBorder="1" applyAlignment="1">
      <alignment horizontal="left" vertical="center"/>
    </xf>
    <xf numFmtId="189" fontId="14" fillId="0" borderId="17" xfId="210" applyNumberFormat="1" applyFont="1" applyBorder="1" applyAlignment="1">
      <alignment horizontal="right" vertical="center" shrinkToFit="1"/>
    </xf>
    <xf numFmtId="0" fontId="7" fillId="0" borderId="33" xfId="208" applyFont="1" applyBorder="1" applyAlignment="1">
      <alignment vertical="center"/>
    </xf>
    <xf numFmtId="0" fontId="13" fillId="0" borderId="30" xfId="210" applyFont="1" applyBorder="1" applyAlignment="1">
      <alignment horizontal="left" vertical="center" wrapText="1"/>
    </xf>
    <xf numFmtId="0" fontId="13" fillId="0" borderId="31" xfId="210" applyFont="1" applyBorder="1" applyAlignment="1">
      <alignment horizontal="left" vertical="center" wrapText="1"/>
    </xf>
    <xf numFmtId="0" fontId="13" fillId="0" borderId="32" xfId="210" applyFont="1" applyBorder="1" applyAlignment="1">
      <alignment horizontal="left" vertical="center" wrapText="1"/>
    </xf>
    <xf numFmtId="0" fontId="7" fillId="0" borderId="31" xfId="208" applyFont="1" applyBorder="1" applyAlignment="1">
      <alignment vertical="center"/>
    </xf>
    <xf numFmtId="0" fontId="7" fillId="0" borderId="31" xfId="210" applyFont="1" applyBorder="1" applyAlignment="1">
      <alignment vertical="center"/>
    </xf>
    <xf numFmtId="0" fontId="7" fillId="0" borderId="31" xfId="208" applyFont="1" applyBorder="1" applyAlignment="1">
      <alignment horizontal="right" vertical="center"/>
    </xf>
    <xf numFmtId="188" fontId="7" fillId="0" borderId="31" xfId="1" applyNumberFormat="1" applyFont="1" applyFill="1" applyBorder="1" applyAlignment="1">
      <alignment horizontal="left" vertical="center"/>
    </xf>
    <xf numFmtId="189" fontId="14" fillId="0" borderId="32" xfId="210" applyNumberFormat="1" applyFont="1" applyBorder="1" applyAlignment="1">
      <alignment horizontal="right" vertical="center" shrinkToFit="1"/>
    </xf>
    <xf numFmtId="0" fontId="0" fillId="0" borderId="10" xfId="108" applyBorder="1"/>
    <xf numFmtId="0" fontId="0" fillId="0" borderId="17" xfId="108" applyBorder="1"/>
    <xf numFmtId="0" fontId="13" fillId="3" borderId="20" xfId="1" applyNumberFormat="1" applyFont="1" applyFill="1" applyBorder="1" applyAlignment="1">
      <alignment horizontal="center" vertical="center" shrinkToFit="1"/>
    </xf>
    <xf numFmtId="0" fontId="14" fillId="3" borderId="21" xfId="1" applyNumberFormat="1" applyFont="1" applyFill="1" applyBorder="1" applyAlignment="1">
      <alignment horizontal="center" vertical="center" shrinkToFit="1"/>
    </xf>
    <xf numFmtId="0" fontId="14" fillId="3" borderId="26" xfId="1" applyNumberFormat="1" applyFont="1" applyFill="1" applyBorder="1" applyAlignment="1">
      <alignment horizontal="center" vertical="center" shrinkToFit="1"/>
    </xf>
    <xf numFmtId="0" fontId="14" fillId="3" borderId="22" xfId="1" applyNumberFormat="1" applyFont="1" applyFill="1" applyBorder="1" applyAlignment="1">
      <alignment horizontal="center" vertical="center" shrinkToFit="1"/>
    </xf>
    <xf numFmtId="0" fontId="14" fillId="3" borderId="23" xfId="1" applyNumberFormat="1" applyFont="1" applyFill="1" applyBorder="1" applyAlignment="1">
      <alignment horizontal="center" vertical="center" shrinkToFit="1"/>
    </xf>
    <xf numFmtId="0" fontId="14" fillId="3" borderId="27" xfId="1" applyNumberFormat="1" applyFont="1" applyFill="1" applyBorder="1" applyAlignment="1">
      <alignment horizontal="center" vertical="center" shrinkToFit="1"/>
    </xf>
    <xf numFmtId="0" fontId="14" fillId="0" borderId="22" xfId="1" applyNumberFormat="1" applyFont="1" applyBorder="1" applyAlignment="1">
      <alignment horizontal="right" vertical="center" shrinkToFit="1"/>
    </xf>
    <xf numFmtId="187" fontId="14" fillId="0" borderId="23" xfId="1" applyNumberFormat="1" applyFont="1" applyBorder="1" applyAlignment="1">
      <alignment horizontal="right" vertical="center" shrinkToFit="1"/>
    </xf>
    <xf numFmtId="0" fontId="14" fillId="0" borderId="23" xfId="1" applyNumberFormat="1" applyFont="1" applyBorder="1" applyAlignment="1">
      <alignment horizontal="right" vertical="center" shrinkToFit="1"/>
    </xf>
    <xf numFmtId="0" fontId="14" fillId="0" borderId="23" xfId="1" applyNumberFormat="1" applyFont="1" applyBorder="1" applyAlignment="1">
      <alignment horizontal="center" vertical="center" wrapText="1"/>
    </xf>
    <xf numFmtId="176" fontId="14" fillId="0" borderId="23" xfId="1" applyFont="1" applyBorder="1" applyAlignment="1">
      <alignment horizontal="right" vertical="center" shrinkToFit="1"/>
    </xf>
    <xf numFmtId="0" fontId="14" fillId="4" borderId="27" xfId="210" applyFont="1" applyFill="1" applyBorder="1" applyAlignment="1">
      <alignment horizontal="center" vertical="center"/>
    </xf>
    <xf numFmtId="0" fontId="13" fillId="0" borderId="23" xfId="1" applyNumberFormat="1" applyFont="1" applyBorder="1" applyAlignment="1">
      <alignment horizontal="center" vertical="center" wrapText="1"/>
    </xf>
    <xf numFmtId="0" fontId="14" fillId="0" borderId="22" xfId="1" applyNumberFormat="1" applyFont="1" applyBorder="1" applyAlignment="1">
      <alignment horizontal="center" vertical="center" shrinkToFit="1"/>
    </xf>
    <xf numFmtId="0" fontId="14" fillId="0" borderId="23" xfId="1" applyNumberFormat="1" applyFont="1" applyBorder="1" applyAlignment="1">
      <alignment horizontal="center" vertical="center" shrinkToFit="1"/>
    </xf>
    <xf numFmtId="0" fontId="14" fillId="0" borderId="27" xfId="1" applyNumberFormat="1" applyFont="1" applyBorder="1" applyAlignment="1">
      <alignment horizontal="center" vertical="center" shrinkToFit="1"/>
    </xf>
    <xf numFmtId="0" fontId="13" fillId="0" borderId="22" xfId="1" applyNumberFormat="1" applyFont="1" applyBorder="1" applyAlignment="1">
      <alignment horizontal="center" vertical="center" shrinkToFit="1"/>
    </xf>
    <xf numFmtId="0" fontId="14" fillId="0" borderId="24" xfId="1" applyNumberFormat="1" applyFont="1" applyBorder="1" applyAlignment="1">
      <alignment horizontal="right" vertical="center" shrinkToFit="1"/>
    </xf>
    <xf numFmtId="187" fontId="14" fillId="0" borderId="25" xfId="1" applyNumberFormat="1" applyFont="1" applyBorder="1" applyAlignment="1">
      <alignment horizontal="right" vertical="center" shrinkToFit="1"/>
    </xf>
    <xf numFmtId="0" fontId="14" fillId="0" borderId="25" xfId="1" applyNumberFormat="1" applyFont="1" applyBorder="1" applyAlignment="1">
      <alignment horizontal="right" vertical="center" shrinkToFit="1"/>
    </xf>
    <xf numFmtId="0" fontId="14" fillId="0" borderId="25" xfId="1" applyNumberFormat="1" applyFont="1" applyBorder="1" applyAlignment="1">
      <alignment vertical="center"/>
    </xf>
    <xf numFmtId="176" fontId="14" fillId="0" borderId="25" xfId="1" applyFont="1" applyBorder="1" applyAlignment="1">
      <alignment horizontal="right" vertical="center" shrinkToFit="1"/>
    </xf>
    <xf numFmtId="0" fontId="14" fillId="4" borderId="28" xfId="210" applyFont="1" applyFill="1" applyBorder="1" applyAlignment="1">
      <alignment horizontal="center" vertical="center"/>
    </xf>
    <xf numFmtId="176" fontId="14" fillId="0" borderId="9" xfId="1" applyFont="1" applyBorder="1" applyAlignment="1">
      <alignment horizontal="right" vertical="center" shrinkToFit="1"/>
    </xf>
    <xf numFmtId="0" fontId="7" fillId="2" borderId="0" xfId="108" applyFont="1" applyFill="1" applyAlignment="1">
      <alignment vertical="center"/>
    </xf>
    <xf numFmtId="0" fontId="14" fillId="0" borderId="0" xfId="108" applyFont="1" applyAlignment="1">
      <alignment vertical="center"/>
    </xf>
    <xf numFmtId="0" fontId="26" fillId="0" borderId="0" xfId="108" applyFont="1" applyAlignment="1">
      <alignment vertical="center"/>
    </xf>
    <xf numFmtId="0" fontId="27" fillId="0" borderId="0" xfId="108" applyFont="1" applyAlignment="1">
      <alignment vertical="center"/>
    </xf>
    <xf numFmtId="0" fontId="22" fillId="2" borderId="0" xfId="0" applyFont="1" applyFill="1" applyAlignment="1" applyProtection="1">
      <alignment vertical="center"/>
      <protection locked="0"/>
    </xf>
    <xf numFmtId="0" fontId="7" fillId="2" borderId="0" xfId="108" applyFont="1" applyFill="1" applyAlignment="1">
      <alignment horizontal="right" vertical="center"/>
    </xf>
    <xf numFmtId="0" fontId="7" fillId="2" borderId="0" xfId="108" applyFont="1" applyFill="1" applyAlignment="1">
      <alignment horizontal="center" vertical="center"/>
    </xf>
    <xf numFmtId="0" fontId="7" fillId="2" borderId="12" xfId="108" applyFont="1" applyFill="1" applyBorder="1" applyAlignment="1">
      <alignment horizontal="left" vertical="center"/>
    </xf>
    <xf numFmtId="0" fontId="7" fillId="2" borderId="12" xfId="108" applyFont="1" applyFill="1" applyBorder="1" applyAlignment="1">
      <alignment horizontal="right" vertical="center"/>
    </xf>
    <xf numFmtId="0" fontId="28" fillId="3" borderId="34" xfId="66" applyFont="1" applyFill="1" applyBorder="1" applyAlignment="1">
      <alignment horizontal="center" vertical="center" wrapText="1"/>
    </xf>
    <xf numFmtId="0" fontId="28" fillId="3" borderId="35" xfId="66" applyFont="1" applyFill="1" applyBorder="1" applyAlignment="1">
      <alignment horizontal="center" vertical="center" wrapText="1"/>
    </xf>
    <xf numFmtId="0" fontId="13" fillId="0" borderId="4" xfId="66" applyFont="1" applyBorder="1" applyAlignment="1">
      <alignment horizontal="left" vertical="center"/>
    </xf>
    <xf numFmtId="0" fontId="14" fillId="0" borderId="5" xfId="66" applyFont="1" applyBorder="1" applyAlignment="1">
      <alignment horizontal="right" vertical="center"/>
    </xf>
    <xf numFmtId="0" fontId="13" fillId="0" borderId="5" xfId="66" applyFont="1" applyBorder="1" applyAlignment="1">
      <alignment horizontal="right" vertical="center"/>
    </xf>
    <xf numFmtId="176" fontId="14" fillId="0" borderId="5" xfId="1" applyFont="1" applyFill="1" applyBorder="1" applyAlignment="1">
      <alignment horizontal="right" vertical="center" shrinkToFit="1"/>
    </xf>
    <xf numFmtId="14" fontId="14" fillId="0" borderId="5" xfId="66" applyNumberFormat="1" applyFont="1" applyBorder="1" applyAlignment="1">
      <alignment horizontal="right" vertical="center" shrinkToFit="1"/>
    </xf>
    <xf numFmtId="0" fontId="14" fillId="0" borderId="4" xfId="66" applyFont="1" applyBorder="1" applyAlignment="1">
      <alignment horizontal="left" vertical="center"/>
    </xf>
    <xf numFmtId="0" fontId="26" fillId="0" borderId="5" xfId="66" applyFont="1" applyBorder="1" applyAlignment="1">
      <alignment horizontal="right" vertical="center"/>
    </xf>
    <xf numFmtId="176" fontId="26" fillId="0" borderId="5" xfId="1" applyFont="1" applyFill="1" applyBorder="1" applyAlignment="1">
      <alignment horizontal="right" vertical="center" shrinkToFit="1"/>
    </xf>
    <xf numFmtId="14" fontId="26" fillId="0" borderId="5" xfId="66" applyNumberFormat="1" applyFont="1" applyBorder="1" applyAlignment="1">
      <alignment horizontal="right" vertical="center" shrinkToFit="1"/>
    </xf>
    <xf numFmtId="0" fontId="26" fillId="0" borderId="4" xfId="66" applyFont="1" applyBorder="1" applyAlignment="1">
      <alignment horizontal="left" vertical="center"/>
    </xf>
    <xf numFmtId="0" fontId="29" fillId="0" borderId="4" xfId="66" applyFont="1" applyBorder="1" applyAlignment="1">
      <alignment horizontal="center" vertical="center"/>
    </xf>
    <xf numFmtId="176" fontId="26" fillId="4" borderId="5" xfId="1" applyFont="1" applyFill="1" applyBorder="1" applyAlignment="1">
      <alignment horizontal="right" vertical="center" shrinkToFit="1"/>
    </xf>
    <xf numFmtId="0" fontId="14" fillId="0" borderId="6" xfId="66" applyFont="1" applyBorder="1">
      <alignment vertical="center"/>
    </xf>
    <xf numFmtId="0" fontId="26" fillId="0" borderId="7" xfId="66" applyFont="1" applyBorder="1" applyAlignment="1">
      <alignment horizontal="center" vertical="center"/>
    </xf>
    <xf numFmtId="176" fontId="26" fillId="0" borderId="7" xfId="66" applyNumberFormat="1" applyFont="1" applyBorder="1" applyAlignment="1">
      <alignment horizontal="center" vertical="center"/>
    </xf>
    <xf numFmtId="0" fontId="13" fillId="0" borderId="8" xfId="108" applyFont="1" applyBorder="1" applyAlignment="1">
      <alignment horizontal="left" vertical="center"/>
    </xf>
    <xf numFmtId="0" fontId="7" fillId="0" borderId="9" xfId="108" applyFont="1" applyBorder="1" applyAlignment="1">
      <alignment horizontal="right" vertical="center"/>
    </xf>
    <xf numFmtId="0" fontId="13" fillId="0" borderId="10" xfId="108" applyFont="1" applyBorder="1" applyAlignment="1">
      <alignment horizontal="left" vertical="center"/>
    </xf>
    <xf numFmtId="0" fontId="7" fillId="0" borderId="0" xfId="108" applyFont="1" applyAlignment="1">
      <alignment horizontal="right" vertical="center"/>
    </xf>
    <xf numFmtId="0" fontId="2" fillId="0" borderId="10" xfId="108" applyFont="1" applyBorder="1" applyAlignment="1">
      <alignment vertical="center"/>
    </xf>
    <xf numFmtId="0" fontId="14" fillId="0" borderId="0" xfId="108" applyFont="1" applyAlignment="1">
      <alignment horizontal="center" vertical="center"/>
    </xf>
    <xf numFmtId="0" fontId="14" fillId="0" borderId="8" xfId="108" applyFont="1" applyBorder="1" applyAlignment="1">
      <alignment vertical="center"/>
    </xf>
    <xf numFmtId="0" fontId="14" fillId="0" borderId="9" xfId="108" applyFont="1" applyBorder="1" applyAlignment="1">
      <alignment horizontal="center" vertical="center"/>
    </xf>
    <xf numFmtId="0" fontId="14" fillId="0" borderId="10" xfId="108" applyFont="1" applyBorder="1" applyAlignment="1">
      <alignment vertical="center"/>
    </xf>
    <xf numFmtId="0" fontId="14" fillId="0" borderId="11" xfId="108" applyFont="1" applyBorder="1" applyAlignment="1">
      <alignment vertical="center"/>
    </xf>
    <xf numFmtId="0" fontId="14" fillId="0" borderId="12" xfId="108" applyFont="1" applyBorder="1" applyAlignment="1">
      <alignment horizontal="center" vertical="center"/>
    </xf>
    <xf numFmtId="0" fontId="30" fillId="2" borderId="0" xfId="6" applyFont="1" applyFill="1" applyBorder="1" applyAlignment="1" applyProtection="1">
      <alignment vertical="center"/>
    </xf>
    <xf numFmtId="0" fontId="28" fillId="3" borderId="36" xfId="66" applyFont="1" applyFill="1" applyBorder="1" applyAlignment="1">
      <alignment horizontal="center" vertical="center" wrapText="1"/>
    </xf>
    <xf numFmtId="176" fontId="14" fillId="0" borderId="14" xfId="66" applyNumberFormat="1" applyFont="1" applyBorder="1" applyAlignment="1">
      <alignment horizontal="right" vertical="center" shrinkToFit="1"/>
    </xf>
    <xf numFmtId="176" fontId="26" fillId="0" borderId="14" xfId="66" applyNumberFormat="1" applyFont="1" applyBorder="1" applyAlignment="1">
      <alignment horizontal="right" vertical="center" shrinkToFit="1"/>
    </xf>
    <xf numFmtId="0" fontId="14" fillId="0" borderId="0" xfId="108" applyFont="1" applyAlignment="1">
      <alignment horizontal="right" vertical="center"/>
    </xf>
    <xf numFmtId="0" fontId="14" fillId="0" borderId="15" xfId="66" applyFont="1" applyBorder="1" applyAlignment="1">
      <alignment horizontal="center" vertical="center"/>
    </xf>
    <xf numFmtId="0" fontId="7" fillId="0" borderId="16" xfId="108" applyFont="1" applyBorder="1" applyAlignment="1">
      <alignment horizontal="right" vertical="center"/>
    </xf>
    <xf numFmtId="0" fontId="7" fillId="0" borderId="17" xfId="108" applyFont="1" applyBorder="1" applyAlignment="1">
      <alignment horizontal="right" vertical="center"/>
    </xf>
    <xf numFmtId="0" fontId="14" fillId="0" borderId="17" xfId="108" applyFont="1" applyBorder="1" applyAlignment="1">
      <alignment horizontal="center" vertical="center"/>
    </xf>
    <xf numFmtId="0" fontId="26" fillId="0" borderId="0" xfId="108" applyFont="1" applyAlignment="1">
      <alignment horizontal="right" vertical="center"/>
    </xf>
    <xf numFmtId="0" fontId="14" fillId="0" borderId="16" xfId="108" applyFont="1" applyBorder="1" applyAlignment="1">
      <alignment horizontal="center" vertical="center"/>
    </xf>
    <xf numFmtId="0" fontId="14" fillId="0" borderId="18" xfId="108" applyFont="1" applyBorder="1" applyAlignment="1">
      <alignment horizontal="center" vertical="center"/>
    </xf>
    <xf numFmtId="0" fontId="31" fillId="2" borderId="0" xfId="0" applyFont="1" applyFill="1" applyAlignment="1" applyProtection="1">
      <alignment vertical="center"/>
      <protection hidden="1"/>
    </xf>
    <xf numFmtId="0" fontId="10" fillId="0" borderId="0" xfId="0" applyFont="1" applyAlignment="1" applyProtection="1">
      <alignment vertical="center"/>
      <protection hidden="1"/>
    </xf>
    <xf numFmtId="0" fontId="11" fillId="0" borderId="0" xfId="0" applyFont="1" applyAlignment="1" applyProtection="1">
      <alignment vertical="center"/>
      <protection hidden="1"/>
    </xf>
    <xf numFmtId="0" fontId="11" fillId="0" borderId="0" xfId="105" applyFont="1" applyAlignment="1"/>
    <xf numFmtId="0" fontId="21" fillId="2" borderId="0" xfId="6" applyFont="1" applyFill="1" applyAlignment="1" applyProtection="1">
      <alignment horizontal="center" vertical="center"/>
      <protection hidden="1"/>
    </xf>
    <xf numFmtId="0" fontId="32" fillId="2" borderId="0" xfId="0" applyFont="1" applyFill="1" applyAlignment="1" applyProtection="1">
      <alignment horizontal="left" vertical="center"/>
      <protection hidden="1"/>
    </xf>
    <xf numFmtId="0" fontId="32" fillId="2" borderId="0" xfId="0" applyFont="1" applyFill="1" applyAlignment="1" applyProtection="1">
      <alignment vertical="center"/>
      <protection hidden="1"/>
    </xf>
    <xf numFmtId="0" fontId="32" fillId="2" borderId="0" xfId="0" applyFont="1" applyFill="1" applyAlignment="1" applyProtection="1">
      <alignment horizontal="right" vertical="center"/>
      <protection hidden="1"/>
    </xf>
    <xf numFmtId="0" fontId="33" fillId="2" borderId="0" xfId="6" applyFont="1" applyFill="1" applyAlignment="1" applyProtection="1">
      <alignment horizontal="right" vertical="center"/>
      <protection hidden="1"/>
    </xf>
    <xf numFmtId="0" fontId="34" fillId="2" borderId="0" xfId="0" applyFont="1" applyFill="1" applyAlignment="1" applyProtection="1">
      <alignment horizontal="right" vertical="center"/>
      <protection locked="0"/>
    </xf>
    <xf numFmtId="0" fontId="7" fillId="2" borderId="0" xfId="0" applyFont="1" applyFill="1" applyAlignment="1">
      <alignment vertical="center"/>
    </xf>
    <xf numFmtId="0" fontId="32" fillId="2" borderId="0" xfId="0" applyFont="1" applyFill="1" applyAlignment="1" applyProtection="1">
      <alignment horizontal="center" vertical="center"/>
      <protection hidden="1"/>
    </xf>
    <xf numFmtId="0" fontId="35" fillId="2" borderId="0" xfId="0" applyFont="1" applyFill="1" applyAlignment="1" applyProtection="1">
      <alignment vertical="center"/>
      <protection hidden="1"/>
    </xf>
    <xf numFmtId="0" fontId="31" fillId="2" borderId="0" xfId="0" applyFont="1" applyFill="1" applyAlignment="1" applyProtection="1">
      <alignment horizontal="right" vertical="center"/>
      <protection hidden="1"/>
    </xf>
    <xf numFmtId="14" fontId="31" fillId="2" borderId="0" xfId="0" applyNumberFormat="1" applyFont="1" applyFill="1" applyAlignment="1" applyProtection="1">
      <alignment horizontal="right" vertical="center" shrinkToFit="1"/>
      <protection locked="0"/>
    </xf>
    <xf numFmtId="0" fontId="31" fillId="2" borderId="0" xfId="0" applyFont="1" applyFill="1" applyAlignment="1" applyProtection="1">
      <alignment horizontal="left" vertical="center"/>
      <protection locked="0"/>
    </xf>
    <xf numFmtId="0" fontId="13" fillId="3" borderId="19" xfId="215" applyFont="1" applyFill="1" applyBorder="1" applyAlignment="1" applyProtection="1">
      <alignment horizontal="center" vertical="center"/>
      <protection locked="0"/>
    </xf>
    <xf numFmtId="0" fontId="13" fillId="3" borderId="3" xfId="215" applyFont="1" applyFill="1" applyBorder="1" applyAlignment="1" applyProtection="1">
      <alignment horizontal="center" vertical="center"/>
      <protection locked="0"/>
    </xf>
    <xf numFmtId="49" fontId="13" fillId="3" borderId="3" xfId="206" applyNumberFormat="1" applyFont="1" applyFill="1" applyBorder="1" applyAlignment="1">
      <alignment horizontal="center" vertical="center"/>
    </xf>
    <xf numFmtId="0" fontId="13" fillId="3" borderId="3" xfId="206" applyFont="1" applyFill="1" applyBorder="1" applyAlignment="1">
      <alignment horizontal="center" vertical="center"/>
    </xf>
    <xf numFmtId="0" fontId="13" fillId="3" borderId="3" xfId="1" applyNumberFormat="1" applyFont="1" applyFill="1" applyBorder="1" applyAlignment="1" applyProtection="1">
      <alignment horizontal="center" vertical="center"/>
      <protection locked="0"/>
    </xf>
    <xf numFmtId="0" fontId="36" fillId="0" borderId="0" xfId="105" applyFont="1">
      <alignment vertical="center"/>
    </xf>
    <xf numFmtId="0" fontId="13" fillId="3" borderId="4" xfId="215" applyFont="1" applyFill="1" applyBorder="1" applyAlignment="1" applyProtection="1">
      <alignment horizontal="center" vertical="center"/>
      <protection locked="0"/>
    </xf>
    <xf numFmtId="0" fontId="13" fillId="3" borderId="5" xfId="215" applyFont="1" applyFill="1" applyBorder="1" applyAlignment="1" applyProtection="1">
      <alignment horizontal="center" vertical="center"/>
      <protection locked="0"/>
    </xf>
    <xf numFmtId="0" fontId="13" fillId="3" borderId="5" xfId="1" applyNumberFormat="1" applyFont="1" applyFill="1" applyBorder="1" applyAlignment="1" applyProtection="1">
      <alignment horizontal="center" vertical="center"/>
      <protection locked="0"/>
    </xf>
    <xf numFmtId="0" fontId="37" fillId="0" borderId="0" xfId="105" applyFont="1">
      <alignment vertical="center"/>
    </xf>
    <xf numFmtId="0" fontId="7" fillId="5" borderId="4" xfId="215" applyFont="1" applyFill="1" applyBorder="1" applyAlignment="1" applyProtection="1">
      <alignment horizontal="center" vertical="center"/>
      <protection locked="0"/>
    </xf>
    <xf numFmtId="0" fontId="38" fillId="0" borderId="5" xfId="215" applyFont="1" applyBorder="1" applyAlignment="1" applyProtection="1">
      <alignment horizontal="center" vertical="center"/>
      <protection locked="0"/>
    </xf>
    <xf numFmtId="176" fontId="14" fillId="4" borderId="5" xfId="1" applyFont="1" applyFill="1" applyBorder="1" applyAlignment="1" applyProtection="1">
      <alignment horizontal="right" vertical="center" shrinkToFit="1"/>
    </xf>
    <xf numFmtId="10" fontId="14" fillId="4" borderId="5" xfId="1" applyNumberFormat="1" applyFont="1" applyFill="1" applyBorder="1" applyAlignment="1" applyProtection="1">
      <alignment horizontal="right" vertical="center" shrinkToFit="1"/>
    </xf>
    <xf numFmtId="0" fontId="9" fillId="0" borderId="4" xfId="213" applyFont="1" applyBorder="1" applyAlignment="1">
      <alignment horizontal="center" vertical="center"/>
    </xf>
    <xf numFmtId="0" fontId="13" fillId="4" borderId="5" xfId="213" applyFont="1" applyFill="1" applyBorder="1" applyAlignment="1">
      <alignment horizontal="left" vertical="center" shrinkToFit="1"/>
    </xf>
    <xf numFmtId="176" fontId="39" fillId="6" borderId="5" xfId="1" applyFont="1" applyFill="1" applyBorder="1" applyAlignment="1" applyProtection="1">
      <alignment horizontal="right" vertical="center" shrinkToFit="1"/>
    </xf>
    <xf numFmtId="10" fontId="14" fillId="4" borderId="5" xfId="3" applyNumberFormat="1" applyFont="1" applyFill="1" applyBorder="1" applyAlignment="1" applyProtection="1">
      <alignment horizontal="right" vertical="center" shrinkToFit="1"/>
    </xf>
    <xf numFmtId="0" fontId="36" fillId="0" borderId="0" xfId="206" applyFont="1" applyAlignment="1">
      <alignment vertical="center"/>
    </xf>
    <xf numFmtId="0" fontId="13" fillId="0" borderId="4" xfId="213" applyFont="1" applyBorder="1" applyAlignment="1">
      <alignment horizontal="center" vertical="center"/>
    </xf>
    <xf numFmtId="0" fontId="11" fillId="0" borderId="0" xfId="105" applyFont="1">
      <alignment vertical="center"/>
    </xf>
    <xf numFmtId="0" fontId="13" fillId="0" borderId="6" xfId="213" applyFont="1" applyBorder="1" applyAlignment="1">
      <alignment horizontal="center" vertical="center"/>
    </xf>
    <xf numFmtId="0" fontId="13" fillId="4" borderId="7" xfId="213" applyFont="1" applyFill="1" applyBorder="1" applyAlignment="1">
      <alignment horizontal="left" vertical="center" shrinkToFit="1"/>
    </xf>
    <xf numFmtId="176" fontId="39" fillId="6" borderId="7" xfId="1" applyFont="1" applyFill="1" applyBorder="1" applyAlignment="1" applyProtection="1">
      <alignment horizontal="right" vertical="center" shrinkToFit="1"/>
    </xf>
    <xf numFmtId="10" fontId="14" fillId="4" borderId="7" xfId="3" applyNumberFormat="1" applyFont="1" applyFill="1" applyBorder="1" applyAlignment="1" applyProtection="1">
      <alignment horizontal="right" vertical="center" shrinkToFit="1"/>
    </xf>
    <xf numFmtId="176" fontId="14" fillId="4" borderId="7" xfId="1" applyFont="1" applyFill="1" applyBorder="1" applyAlignment="1" applyProtection="1">
      <alignment horizontal="right" vertical="center" shrinkToFit="1"/>
    </xf>
    <xf numFmtId="0" fontId="12" fillId="0" borderId="0" xfId="114" applyFont="1" applyAlignment="1">
      <alignment horizontal="center"/>
    </xf>
    <xf numFmtId="0" fontId="9" fillId="0" borderId="8" xfId="0" applyFont="1" applyBorder="1" applyAlignment="1" applyProtection="1">
      <alignment vertical="center"/>
      <protection hidden="1"/>
    </xf>
    <xf numFmtId="0" fontId="13" fillId="0" borderId="9" xfId="105" applyFont="1" applyBorder="1" applyAlignment="1"/>
    <xf numFmtId="0" fontId="11" fillId="0" borderId="9" xfId="105" applyFont="1" applyBorder="1" applyAlignment="1"/>
    <xf numFmtId="0" fontId="9" fillId="0" borderId="10" xfId="0" applyFont="1" applyBorder="1" applyAlignment="1" applyProtection="1">
      <alignment vertical="center"/>
      <protection hidden="1"/>
    </xf>
    <xf numFmtId="0" fontId="13" fillId="0" borderId="0" xfId="105" applyFont="1" applyAlignment="1"/>
    <xf numFmtId="0" fontId="31" fillId="0" borderId="10" xfId="0" applyFont="1" applyBorder="1" applyAlignment="1" applyProtection="1">
      <alignment vertical="center"/>
      <protection hidden="1"/>
    </xf>
    <xf numFmtId="0" fontId="13" fillId="0" borderId="10" xfId="105" applyFont="1" applyBorder="1">
      <alignment vertical="center"/>
    </xf>
    <xf numFmtId="0" fontId="40" fillId="0" borderId="0" xfId="0" applyFont="1" applyAlignment="1" applyProtection="1">
      <alignment vertical="center"/>
      <protection hidden="1"/>
    </xf>
    <xf numFmtId="0" fontId="31" fillId="0" borderId="11" xfId="0" applyFont="1" applyBorder="1" applyAlignment="1" applyProtection="1">
      <alignment vertical="center"/>
      <protection hidden="1"/>
    </xf>
    <xf numFmtId="14" fontId="39" fillId="0" borderId="12" xfId="0" applyNumberFormat="1" applyFont="1" applyBorder="1" applyAlignment="1" applyProtection="1">
      <alignment horizontal="right" vertical="center" shrinkToFit="1"/>
      <protection locked="0"/>
    </xf>
    <xf numFmtId="0" fontId="10" fillId="0" borderId="12" xfId="0" applyFont="1" applyBorder="1" applyAlignment="1" applyProtection="1">
      <alignment horizontal="right" vertical="center"/>
      <protection hidden="1"/>
    </xf>
    <xf numFmtId="0" fontId="10" fillId="0" borderId="12" xfId="0" applyFont="1" applyBorder="1" applyAlignment="1" applyProtection="1">
      <alignment horizontal="left" vertical="center"/>
      <protection locked="0"/>
    </xf>
    <xf numFmtId="176" fontId="39" fillId="0" borderId="12" xfId="1" applyFont="1" applyFill="1" applyBorder="1" applyAlignment="1" applyProtection="1">
      <alignment horizontal="right" vertical="center" shrinkToFit="1"/>
      <protection hidden="1"/>
    </xf>
    <xf numFmtId="10" fontId="39" fillId="0" borderId="12" xfId="3" applyNumberFormat="1" applyFont="1" applyFill="1" applyBorder="1" applyAlignment="1" applyProtection="1">
      <alignment horizontal="right" vertical="center" shrinkToFit="1"/>
      <protection hidden="1"/>
    </xf>
    <xf numFmtId="0" fontId="31" fillId="0" borderId="0" xfId="0" applyFont="1" applyAlignment="1" applyProtection="1">
      <alignment vertical="center"/>
      <protection hidden="1"/>
    </xf>
    <xf numFmtId="0" fontId="9" fillId="0" borderId="0" xfId="0" applyFont="1" applyAlignment="1" applyProtection="1">
      <alignment horizontal="left" vertical="center"/>
      <protection locked="0"/>
    </xf>
    <xf numFmtId="14" fontId="39" fillId="0" borderId="0" xfId="0" applyNumberFormat="1" applyFont="1" applyAlignment="1" applyProtection="1">
      <alignment horizontal="right" vertical="center" shrinkToFit="1"/>
      <protection locked="0"/>
    </xf>
    <xf numFmtId="0" fontId="10" fillId="0" borderId="0" xfId="0" applyFont="1" applyAlignment="1" applyProtection="1">
      <alignment horizontal="right" vertical="center"/>
      <protection hidden="1"/>
    </xf>
    <xf numFmtId="0" fontId="10" fillId="0" borderId="0" xfId="0" applyFont="1" applyAlignment="1" applyProtection="1">
      <alignment horizontal="left" vertical="center"/>
      <protection locked="0"/>
    </xf>
    <xf numFmtId="176" fontId="39" fillId="0" borderId="0" xfId="1" applyFont="1" applyFill="1" applyBorder="1" applyAlignment="1" applyProtection="1">
      <alignment horizontal="right" vertical="center" shrinkToFit="1"/>
      <protection hidden="1"/>
    </xf>
    <xf numFmtId="10" fontId="39" fillId="0" borderId="0" xfId="3" applyNumberFormat="1" applyFont="1" applyFill="1" applyBorder="1" applyAlignment="1" applyProtection="1">
      <alignment horizontal="right" vertical="center" shrinkToFit="1"/>
      <protection hidden="1"/>
    </xf>
    <xf numFmtId="0" fontId="10" fillId="0" borderId="0" xfId="1" applyNumberFormat="1" applyFont="1" applyFill="1" applyBorder="1" applyAlignment="1" applyProtection="1">
      <alignment horizontal="left" vertical="center"/>
      <protection locked="0"/>
    </xf>
    <xf numFmtId="0" fontId="41" fillId="2" borderId="0" xfId="0" applyFont="1" applyFill="1" applyAlignment="1" applyProtection="1">
      <alignment horizontal="right" vertical="center"/>
      <protection hidden="1"/>
    </xf>
    <xf numFmtId="0" fontId="13" fillId="3" borderId="13" xfId="215" applyFont="1" applyFill="1" applyBorder="1" applyAlignment="1">
      <alignment horizontal="center" vertical="center" shrinkToFit="1"/>
    </xf>
    <xf numFmtId="0" fontId="13" fillId="3" borderId="14" xfId="215" applyFont="1" applyFill="1" applyBorder="1" applyAlignment="1">
      <alignment horizontal="center" vertical="center" shrinkToFit="1"/>
    </xf>
    <xf numFmtId="0" fontId="42" fillId="0" borderId="14" xfId="215" applyFont="1" applyBorder="1" applyAlignment="1">
      <alignment horizontal="center" vertical="center"/>
    </xf>
    <xf numFmtId="0" fontId="11" fillId="0" borderId="14" xfId="215" applyFont="1" applyBorder="1" applyAlignment="1">
      <alignment vertical="center"/>
    </xf>
    <xf numFmtId="10" fontId="14" fillId="4" borderId="7" xfId="1" applyNumberFormat="1" applyFont="1" applyFill="1" applyBorder="1" applyAlignment="1" applyProtection="1">
      <alignment horizontal="right" vertical="center" shrinkToFit="1"/>
    </xf>
    <xf numFmtId="0" fontId="11" fillId="0" borderId="15" xfId="215" applyFont="1" applyBorder="1" applyAlignment="1">
      <alignment vertical="center"/>
    </xf>
    <xf numFmtId="0" fontId="11" fillId="0" borderId="16" xfId="105" applyFont="1" applyBorder="1" applyAlignment="1"/>
    <xf numFmtId="0" fontId="11" fillId="0" borderId="17" xfId="105" applyFont="1" applyBorder="1" applyAlignment="1"/>
    <xf numFmtId="0" fontId="10" fillId="0" borderId="12" xfId="0" applyFont="1" applyBorder="1" applyAlignment="1" applyProtection="1">
      <alignment vertical="center"/>
      <protection hidden="1"/>
    </xf>
    <xf numFmtId="0" fontId="10" fillId="0" borderId="18" xfId="0" applyFont="1" applyBorder="1" applyAlignment="1" applyProtection="1">
      <alignment vertical="center"/>
      <protection hidden="1"/>
    </xf>
    <xf numFmtId="0" fontId="43" fillId="0" borderId="0" xfId="114" applyFont="1" applyAlignment="1">
      <alignment vertical="center"/>
    </xf>
    <xf numFmtId="0" fontId="26" fillId="0" borderId="0" xfId="66" applyFont="1">
      <alignment vertical="center"/>
    </xf>
    <xf numFmtId="0" fontId="14" fillId="0" borderId="0" xfId="66" applyFont="1">
      <alignment vertical="center"/>
    </xf>
    <xf numFmtId="0" fontId="11" fillId="0" borderId="0" xfId="114" applyFont="1" applyAlignment="1">
      <alignment vertical="center"/>
    </xf>
    <xf numFmtId="0" fontId="11" fillId="0" borderId="0" xfId="114" applyFont="1" applyAlignment="1">
      <alignment horizontal="center" vertical="center"/>
    </xf>
    <xf numFmtId="0" fontId="7" fillId="2" borderId="0" xfId="0" applyFont="1" applyFill="1" applyAlignment="1" applyProtection="1">
      <alignment vertical="center"/>
      <protection locked="0"/>
    </xf>
    <xf numFmtId="1" fontId="28" fillId="3" borderId="19" xfId="215" applyNumberFormat="1" applyFont="1" applyFill="1" applyBorder="1" applyAlignment="1" applyProtection="1">
      <alignment horizontal="center" vertical="center"/>
      <protection locked="0"/>
    </xf>
    <xf numFmtId="0" fontId="28" fillId="3" borderId="37" xfId="215" applyFont="1" applyFill="1" applyBorder="1" applyAlignment="1" applyProtection="1">
      <alignment horizontal="center" vertical="center" wrapText="1"/>
      <protection locked="0"/>
    </xf>
    <xf numFmtId="1" fontId="28" fillId="3" borderId="3" xfId="215" applyNumberFormat="1" applyFont="1" applyFill="1" applyBorder="1" applyAlignment="1" applyProtection="1">
      <alignment horizontal="center" vertical="center"/>
      <protection locked="0"/>
    </xf>
    <xf numFmtId="0" fontId="28" fillId="3" borderId="3" xfId="215" applyFont="1" applyFill="1" applyBorder="1" applyAlignment="1">
      <alignment horizontal="center" vertical="center"/>
    </xf>
    <xf numFmtId="0" fontId="28" fillId="3" borderId="3" xfId="1" applyNumberFormat="1" applyFont="1" applyFill="1" applyBorder="1" applyAlignment="1" applyProtection="1">
      <alignment horizontal="center" vertical="center" shrinkToFit="1"/>
      <protection locked="0"/>
    </xf>
    <xf numFmtId="1" fontId="7" fillId="0" borderId="4" xfId="215" applyNumberFormat="1" applyFont="1" applyBorder="1" applyAlignment="1" applyProtection="1">
      <alignment horizontal="center" vertical="center"/>
      <protection locked="0"/>
    </xf>
    <xf numFmtId="1" fontId="7" fillId="0" borderId="38" xfId="215" applyNumberFormat="1" applyFont="1" applyBorder="1" applyAlignment="1" applyProtection="1">
      <alignment horizontal="center" vertical="center"/>
      <protection locked="0"/>
    </xf>
    <xf numFmtId="1" fontId="7" fillId="0" borderId="5" xfId="215" applyNumberFormat="1" applyFont="1" applyBorder="1" applyAlignment="1" applyProtection="1">
      <alignment horizontal="center" vertical="center"/>
      <protection locked="0"/>
    </xf>
    <xf numFmtId="0" fontId="9" fillId="0" borderId="38" xfId="213" applyFont="1" applyBorder="1" applyAlignment="1">
      <alignment horizontal="center" vertical="center"/>
    </xf>
    <xf numFmtId="0" fontId="20" fillId="0" borderId="5" xfId="0" applyFont="1" applyBorder="1" applyAlignment="1">
      <alignment horizontal="center" vertical="center"/>
    </xf>
    <xf numFmtId="0" fontId="44" fillId="4" borderId="5" xfId="127" applyFont="1" applyFill="1" applyBorder="1" applyAlignment="1">
      <alignment horizontal="center" vertical="center" shrinkToFit="1"/>
    </xf>
    <xf numFmtId="176" fontId="14" fillId="0" borderId="5" xfId="67" applyNumberFormat="1" applyFont="1" applyBorder="1" applyAlignment="1">
      <alignment horizontal="right" vertical="center" shrinkToFit="1"/>
    </xf>
    <xf numFmtId="0" fontId="20" fillId="0" borderId="5" xfId="0" applyFont="1" applyBorder="1" applyAlignment="1">
      <alignment vertical="center"/>
    </xf>
    <xf numFmtId="176" fontId="14" fillId="0" borderId="5" xfId="0" applyNumberFormat="1" applyFont="1" applyBorder="1" applyAlignment="1">
      <alignment horizontal="right" vertical="center" shrinkToFit="1"/>
    </xf>
    <xf numFmtId="0" fontId="9" fillId="0" borderId="39" xfId="213" applyFont="1" applyBorder="1" applyAlignment="1">
      <alignment horizontal="center" vertical="center"/>
    </xf>
    <xf numFmtId="0" fontId="20" fillId="0" borderId="40" xfId="0" applyFont="1" applyBorder="1" applyAlignment="1">
      <alignment vertical="center"/>
    </xf>
    <xf numFmtId="0" fontId="44" fillId="4" borderId="5" xfId="127" applyFont="1" applyFill="1" applyBorder="1" applyAlignment="1" applyProtection="1">
      <alignment horizontal="center" vertical="center" shrinkToFit="1"/>
      <protection locked="0"/>
    </xf>
    <xf numFmtId="176" fontId="14" fillId="0" borderId="40" xfId="0" applyNumberFormat="1" applyFont="1" applyBorder="1" applyAlignment="1">
      <alignment horizontal="right" vertical="center" shrinkToFit="1"/>
    </xf>
    <xf numFmtId="176" fontId="39" fillId="0" borderId="40" xfId="1" applyFont="1" applyFill="1" applyBorder="1" applyAlignment="1" applyProtection="1">
      <alignment horizontal="right" vertical="center" shrinkToFit="1"/>
    </xf>
    <xf numFmtId="0" fontId="28" fillId="3" borderId="3" xfId="215" applyFont="1" applyFill="1" applyBorder="1" applyAlignment="1">
      <alignment horizontal="center" vertical="center" shrinkToFit="1"/>
    </xf>
    <xf numFmtId="0" fontId="28" fillId="3" borderId="13" xfId="215" applyFont="1" applyFill="1" applyBorder="1" applyAlignment="1">
      <alignment horizontal="center" vertical="center"/>
    </xf>
    <xf numFmtId="0" fontId="43" fillId="0" borderId="14" xfId="215" applyFont="1" applyBorder="1" applyAlignment="1">
      <alignment horizontal="center" vertical="center"/>
    </xf>
    <xf numFmtId="176" fontId="39" fillId="4" borderId="5" xfId="1" applyFont="1" applyFill="1" applyBorder="1" applyAlignment="1" applyProtection="1">
      <alignment horizontal="right" vertical="center" shrinkToFit="1"/>
    </xf>
    <xf numFmtId="10" fontId="14" fillId="4" borderId="5" xfId="215" applyNumberFormat="1" applyFont="1" applyFill="1" applyBorder="1" applyAlignment="1">
      <alignment horizontal="right" vertical="center" shrinkToFit="1"/>
    </xf>
    <xf numFmtId="0" fontId="26" fillId="0" borderId="14" xfId="215" applyFont="1" applyBorder="1" applyAlignment="1">
      <alignment horizontal="center" vertical="center"/>
    </xf>
    <xf numFmtId="0" fontId="26" fillId="0" borderId="41" xfId="215" applyFont="1" applyBorder="1" applyAlignment="1">
      <alignment horizontal="center" vertical="center"/>
    </xf>
    <xf numFmtId="0" fontId="9" fillId="0" borderId="6" xfId="213" applyFont="1" applyBorder="1" applyAlignment="1">
      <alignment horizontal="center" vertical="center"/>
    </xf>
    <xf numFmtId="0" fontId="9" fillId="0" borderId="42" xfId="213" applyFont="1" applyBorder="1" applyAlignment="1">
      <alignment horizontal="center" vertical="center"/>
    </xf>
    <xf numFmtId="0" fontId="20" fillId="0" borderId="7" xfId="0" applyFont="1" applyBorder="1" applyAlignment="1">
      <alignment vertical="center"/>
    </xf>
    <xf numFmtId="0" fontId="44" fillId="4" borderId="7" xfId="127" applyFont="1" applyFill="1" applyBorder="1" applyAlignment="1" applyProtection="1">
      <alignment horizontal="center" vertical="center" shrinkToFit="1"/>
      <protection locked="0"/>
    </xf>
    <xf numFmtId="176" fontId="14" fillId="0" borderId="7" xfId="0" applyNumberFormat="1" applyFont="1" applyBorder="1" applyAlignment="1">
      <alignment horizontal="right" vertical="center" shrinkToFit="1"/>
    </xf>
    <xf numFmtId="0" fontId="31" fillId="0" borderId="9" xfId="0" applyFont="1" applyBorder="1" applyAlignment="1" applyProtection="1">
      <alignment vertical="center"/>
      <protection hidden="1"/>
    </xf>
    <xf numFmtId="176" fontId="39" fillId="0" borderId="9" xfId="1" applyFont="1" applyFill="1" applyBorder="1" applyAlignment="1" applyProtection="1">
      <alignment horizontal="right" vertical="center" shrinkToFit="1"/>
      <protection locked="0"/>
    </xf>
    <xf numFmtId="14" fontId="39" fillId="0" borderId="9" xfId="0" applyNumberFormat="1" applyFont="1" applyBorder="1" applyAlignment="1" applyProtection="1">
      <alignment horizontal="right" vertical="center" shrinkToFit="1"/>
      <protection locked="0"/>
    </xf>
    <xf numFmtId="0" fontId="10" fillId="0" borderId="9" xfId="0" applyFont="1" applyBorder="1" applyAlignment="1" applyProtection="1">
      <alignment horizontal="right" vertical="center"/>
      <protection hidden="1"/>
    </xf>
    <xf numFmtId="0" fontId="10" fillId="0" borderId="9" xfId="0" applyFont="1" applyBorder="1" applyAlignment="1" applyProtection="1">
      <alignment horizontal="left" vertical="center"/>
      <protection locked="0"/>
    </xf>
    <xf numFmtId="0" fontId="9" fillId="0" borderId="0" xfId="0" applyFont="1" applyAlignment="1" applyProtection="1">
      <alignment vertical="center"/>
      <protection hidden="1"/>
    </xf>
    <xf numFmtId="176" fontId="39" fillId="0" borderId="0" xfId="1" applyFont="1" applyFill="1" applyBorder="1" applyAlignment="1" applyProtection="1">
      <alignment horizontal="right" vertical="center" shrinkToFit="1"/>
      <protection locked="0"/>
    </xf>
    <xf numFmtId="0" fontId="9" fillId="0" borderId="0" xfId="0" applyFont="1" applyAlignment="1" applyProtection="1">
      <alignment horizontal="right" vertical="center"/>
      <protection hidden="1"/>
    </xf>
    <xf numFmtId="0" fontId="31" fillId="0" borderId="12" xfId="0" applyFont="1" applyBorder="1" applyAlignment="1" applyProtection="1">
      <alignment vertical="center"/>
      <protection hidden="1"/>
    </xf>
    <xf numFmtId="0" fontId="45" fillId="0" borderId="0" xfId="66" applyFont="1">
      <alignment vertical="center"/>
    </xf>
    <xf numFmtId="176" fontId="39" fillId="0" borderId="7" xfId="1" applyFont="1" applyFill="1" applyBorder="1" applyAlignment="1" applyProtection="1">
      <alignment horizontal="right" vertical="center" shrinkToFit="1"/>
    </xf>
    <xf numFmtId="176" fontId="39" fillId="0" borderId="9" xfId="1" applyFont="1" applyFill="1" applyBorder="1" applyAlignment="1" applyProtection="1">
      <alignment horizontal="right" vertical="center" shrinkToFit="1"/>
      <protection hidden="1"/>
    </xf>
    <xf numFmtId="10" fontId="39" fillId="0" borderId="9" xfId="3" applyNumberFormat="1" applyFont="1" applyFill="1" applyBorder="1" applyAlignment="1" applyProtection="1">
      <alignment horizontal="right" vertical="center" shrinkToFit="1"/>
      <protection hidden="1"/>
    </xf>
    <xf numFmtId="0" fontId="10" fillId="0" borderId="9" xfId="0" applyFont="1" applyBorder="1" applyAlignment="1" applyProtection="1">
      <alignment vertical="center"/>
      <protection hidden="1"/>
    </xf>
    <xf numFmtId="176" fontId="39" fillId="0" borderId="0" xfId="1" applyFont="1" applyFill="1" applyAlignment="1" applyProtection="1">
      <alignment horizontal="right" vertical="center" shrinkToFit="1"/>
      <protection hidden="1"/>
    </xf>
    <xf numFmtId="10" fontId="39" fillId="0" borderId="0" xfId="3" applyNumberFormat="1" applyFont="1" applyFill="1" applyAlignment="1" applyProtection="1">
      <alignment horizontal="right" vertical="center" shrinkToFit="1"/>
      <protection hidden="1"/>
    </xf>
    <xf numFmtId="176" fontId="39" fillId="4" borderId="7" xfId="1" applyFont="1" applyFill="1" applyBorder="1" applyAlignment="1" applyProtection="1">
      <alignment horizontal="right" vertical="center" shrinkToFit="1"/>
    </xf>
    <xf numFmtId="10" fontId="14" fillId="4" borderId="7" xfId="215" applyNumberFormat="1" applyFont="1" applyFill="1" applyBorder="1" applyAlignment="1">
      <alignment horizontal="right" vertical="center" shrinkToFit="1"/>
    </xf>
    <xf numFmtId="0" fontId="26" fillId="0" borderId="15" xfId="215" applyFont="1" applyBorder="1" applyAlignment="1">
      <alignment horizontal="center" vertical="center"/>
    </xf>
    <xf numFmtId="0" fontId="12" fillId="0" borderId="0" xfId="114" applyFont="1" applyAlignment="1">
      <alignment horizontal="center" vertical="center"/>
    </xf>
    <xf numFmtId="0" fontId="10" fillId="0" borderId="16" xfId="0" applyFont="1" applyBorder="1" applyAlignment="1" applyProtection="1">
      <alignment vertical="center"/>
      <protection hidden="1"/>
    </xf>
    <xf numFmtId="0" fontId="10" fillId="0" borderId="17" xfId="0" applyFont="1" applyBorder="1" applyAlignment="1" applyProtection="1">
      <alignment vertical="center"/>
      <protection hidden="1"/>
    </xf>
    <xf numFmtId="0" fontId="10" fillId="0" borderId="0" xfId="1" applyNumberFormat="1" applyFont="1" applyFill="1" applyAlignment="1" applyProtection="1">
      <alignment horizontal="left" vertical="center"/>
      <protection locked="0"/>
    </xf>
    <xf numFmtId="0" fontId="7" fillId="0" borderId="0" xfId="66" applyFont="1">
      <alignment vertical="center"/>
    </xf>
    <xf numFmtId="0" fontId="13" fillId="3" borderId="0" xfId="66" applyFont="1" applyFill="1" applyAlignment="1">
      <alignment vertical="center" wrapText="1"/>
    </xf>
    <xf numFmtId="0" fontId="7" fillId="3" borderId="5" xfId="66" applyFont="1" applyFill="1" applyBorder="1" applyAlignment="1">
      <alignment horizontal="center" vertical="center" wrapText="1"/>
    </xf>
    <xf numFmtId="0" fontId="13" fillId="7" borderId="0" xfId="66" applyFont="1" applyFill="1">
      <alignment vertical="center"/>
    </xf>
    <xf numFmtId="0" fontId="13" fillId="0" borderId="5" xfId="66" applyFont="1" applyBorder="1" applyAlignment="1">
      <alignment horizontal="center" vertical="center" shrinkToFit="1"/>
    </xf>
    <xf numFmtId="0" fontId="14" fillId="4" borderId="5" xfId="66" applyFont="1" applyFill="1" applyBorder="1" applyAlignment="1">
      <alignment horizontal="center" vertical="center" shrinkToFit="1"/>
    </xf>
    <xf numFmtId="0" fontId="20" fillId="0" borderId="5" xfId="67" applyFont="1" applyBorder="1" applyAlignment="1">
      <alignment horizontal="center"/>
    </xf>
    <xf numFmtId="0" fontId="7" fillId="0" borderId="0" xfId="0" applyFont="1" applyAlignment="1">
      <alignment vertical="center"/>
    </xf>
    <xf numFmtId="0" fontId="14" fillId="0" borderId="0" xfId="0" applyFont="1" applyAlignment="1">
      <alignment vertical="center"/>
    </xf>
    <xf numFmtId="0" fontId="13" fillId="3" borderId="19" xfId="66"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0" borderId="4" xfId="66" applyFont="1" applyBorder="1" applyAlignment="1">
      <alignment horizontal="center" vertical="center"/>
    </xf>
    <xf numFmtId="176" fontId="14" fillId="4" borderId="5" xfId="66" applyNumberFormat="1" applyFont="1" applyFill="1" applyBorder="1" applyAlignment="1">
      <alignment horizontal="right" vertical="center" shrinkToFit="1"/>
    </xf>
    <xf numFmtId="176" fontId="14" fillId="4" borderId="14" xfId="66" applyNumberFormat="1" applyFont="1" applyFill="1" applyBorder="1" applyAlignment="1">
      <alignment horizontal="right" vertical="center" shrinkToFit="1"/>
    </xf>
    <xf numFmtId="0" fontId="14" fillId="4" borderId="4" xfId="66" applyFont="1" applyFill="1" applyBorder="1" applyAlignment="1">
      <alignment vertical="center" shrinkToFit="1"/>
    </xf>
    <xf numFmtId="190" fontId="14" fillId="0" borderId="5" xfId="0" applyNumberFormat="1" applyFont="1" applyBorder="1" applyAlignment="1">
      <alignment horizontal="right" vertical="center" shrinkToFit="1"/>
    </xf>
    <xf numFmtId="190" fontId="14" fillId="0" borderId="5" xfId="1" applyNumberFormat="1" applyFont="1" applyBorder="1" applyAlignment="1">
      <alignment horizontal="right" vertical="center" shrinkToFit="1"/>
    </xf>
    <xf numFmtId="176" fontId="14" fillId="4" borderId="14" xfId="1" applyFont="1" applyFill="1" applyBorder="1" applyAlignment="1">
      <alignment horizontal="right" vertical="center" shrinkToFit="1"/>
    </xf>
    <xf numFmtId="0" fontId="14" fillId="4" borderId="6" xfId="66" applyFont="1" applyFill="1" applyBorder="1" applyAlignment="1">
      <alignment vertical="center" shrinkToFit="1"/>
    </xf>
    <xf numFmtId="190" fontId="14" fillId="0" borderId="7" xfId="0" applyNumberFormat="1" applyFont="1" applyBorder="1" applyAlignment="1">
      <alignment horizontal="right" vertical="center" shrinkToFit="1"/>
    </xf>
    <xf numFmtId="190" fontId="14" fillId="0" borderId="7" xfId="1" applyNumberFormat="1" applyFont="1" applyBorder="1" applyAlignment="1">
      <alignment horizontal="right" vertical="center" shrinkToFit="1"/>
    </xf>
    <xf numFmtId="176" fontId="14" fillId="4" borderId="15" xfId="1" applyFont="1" applyFill="1" applyBorder="1" applyAlignment="1">
      <alignment horizontal="right" vertical="center" shrinkToFit="1"/>
    </xf>
    <xf numFmtId="0" fontId="13" fillId="0" borderId="0" xfId="0" applyFont="1" applyAlignment="1">
      <alignment vertical="center"/>
    </xf>
    <xf numFmtId="0" fontId="4" fillId="4" borderId="0" xfId="0" applyFont="1" applyFill="1" applyAlignment="1">
      <alignment horizontal="center" vertical="center"/>
    </xf>
    <xf numFmtId="0" fontId="20" fillId="3" borderId="19" xfId="0" applyFont="1" applyFill="1" applyBorder="1" applyAlignment="1" applyProtection="1">
      <alignment horizontal="center" vertical="center" wrapText="1"/>
      <protection hidden="1"/>
    </xf>
    <xf numFmtId="0" fontId="20" fillId="3" borderId="3" xfId="0" applyFont="1" applyFill="1" applyBorder="1" applyAlignment="1" applyProtection="1">
      <alignment horizontal="center" vertical="center"/>
      <protection hidden="1"/>
    </xf>
    <xf numFmtId="0" fontId="20" fillId="8" borderId="3" xfId="0" applyFont="1" applyFill="1" applyBorder="1" applyAlignment="1" applyProtection="1">
      <alignment horizontal="center" vertical="center"/>
      <protection hidden="1"/>
    </xf>
    <xf numFmtId="0" fontId="20" fillId="3" borderId="4" xfId="0" applyFont="1" applyFill="1" applyBorder="1" applyAlignment="1" applyProtection="1">
      <alignment horizontal="center" vertical="center" wrapText="1"/>
      <protection hidden="1"/>
    </xf>
    <xf numFmtId="0" fontId="20" fillId="3" borderId="5" xfId="0" applyFont="1" applyFill="1" applyBorder="1" applyAlignment="1" applyProtection="1">
      <alignment horizontal="center" vertical="center"/>
      <protection hidden="1"/>
    </xf>
    <xf numFmtId="0" fontId="20" fillId="8" borderId="5" xfId="0" applyFont="1" applyFill="1" applyBorder="1" applyAlignment="1" applyProtection="1">
      <alignment horizontal="center" vertical="center"/>
      <protection hidden="1"/>
    </xf>
    <xf numFmtId="0" fontId="14" fillId="0" borderId="4" xfId="0" applyFont="1" applyBorder="1" applyAlignment="1">
      <alignment vertical="center"/>
    </xf>
    <xf numFmtId="49" fontId="20" fillId="4" borderId="5" xfId="0" applyNumberFormat="1" applyFont="1" applyFill="1" applyBorder="1" applyAlignment="1" applyProtection="1">
      <alignment vertical="center"/>
      <protection locked="0"/>
    </xf>
    <xf numFmtId="0" fontId="14" fillId="0" borderId="5" xfId="0" applyFont="1" applyBorder="1" applyAlignment="1">
      <alignment vertical="center"/>
    </xf>
    <xf numFmtId="176" fontId="14" fillId="0" borderId="5" xfId="1" applyFont="1" applyBorder="1" applyAlignment="1">
      <alignment horizontal="right" vertical="center" shrinkToFit="1"/>
    </xf>
    <xf numFmtId="0" fontId="26" fillId="0" borderId="4" xfId="0" applyFont="1" applyBorder="1" applyAlignment="1">
      <alignment vertical="center"/>
    </xf>
    <xf numFmtId="0" fontId="26" fillId="0" borderId="5" xfId="0" applyFont="1" applyBorder="1" applyAlignment="1">
      <alignment vertical="center"/>
    </xf>
    <xf numFmtId="176" fontId="26" fillId="0" borderId="5" xfId="1" applyFont="1" applyBorder="1" applyAlignment="1">
      <alignment horizontal="right" vertical="center" shrinkToFit="1"/>
    </xf>
    <xf numFmtId="0" fontId="14" fillId="0" borderId="0" xfId="208" applyFont="1" applyAlignment="1">
      <alignment vertical="center"/>
    </xf>
    <xf numFmtId="0" fontId="14" fillId="0" borderId="4" xfId="208" applyFont="1" applyBorder="1" applyAlignment="1">
      <alignment vertical="center"/>
    </xf>
    <xf numFmtId="0" fontId="14" fillId="0" borderId="5" xfId="208" applyFont="1" applyBorder="1" applyAlignment="1">
      <alignment vertical="center"/>
    </xf>
    <xf numFmtId="0" fontId="46" fillId="0" borderId="0" xfId="0" applyFont="1" applyAlignment="1">
      <alignment vertical="center"/>
    </xf>
    <xf numFmtId="0" fontId="46" fillId="0" borderId="4" xfId="0" applyFont="1" applyBorder="1" applyAlignment="1">
      <alignment vertical="center"/>
    </xf>
    <xf numFmtId="0" fontId="46" fillId="0" borderId="5" xfId="0" applyFont="1" applyBorder="1" applyAlignment="1">
      <alignment vertical="center"/>
    </xf>
    <xf numFmtId="176" fontId="46" fillId="0" borderId="5" xfId="1" applyFont="1" applyBorder="1" applyAlignment="1">
      <alignment horizontal="right" vertical="center" shrinkToFit="1"/>
    </xf>
    <xf numFmtId="176" fontId="46" fillId="0" borderId="5" xfId="1" applyFont="1" applyFill="1" applyBorder="1" applyAlignment="1">
      <alignment horizontal="right" vertical="center" shrinkToFit="1"/>
    </xf>
    <xf numFmtId="0" fontId="11" fillId="0" borderId="0" xfId="0" applyFont="1" applyAlignment="1">
      <alignment vertical="center"/>
    </xf>
    <xf numFmtId="0" fontId="11" fillId="0" borderId="4" xfId="0" applyFont="1" applyBorder="1" applyAlignment="1">
      <alignment vertical="center"/>
    </xf>
    <xf numFmtId="0" fontId="11" fillId="0" borderId="5" xfId="0" applyFont="1" applyBorder="1" applyAlignment="1">
      <alignment vertical="center"/>
    </xf>
    <xf numFmtId="0" fontId="14" fillId="0" borderId="6" xfId="0" applyFont="1" applyBorder="1" applyAlignment="1">
      <alignment vertical="center"/>
    </xf>
    <xf numFmtId="49" fontId="20" fillId="4" borderId="7" xfId="0" applyNumberFormat="1" applyFont="1" applyFill="1" applyBorder="1" applyAlignment="1" applyProtection="1">
      <alignment vertical="center"/>
      <protection locked="0"/>
    </xf>
    <xf numFmtId="0" fontId="14" fillId="0" borderId="7" xfId="0" applyFont="1" applyBorder="1" applyAlignment="1">
      <alignment vertical="center"/>
    </xf>
    <xf numFmtId="176" fontId="14" fillId="0" borderId="7" xfId="1" applyFont="1" applyBorder="1" applyAlignment="1">
      <alignment horizontal="right" vertical="center" shrinkToFit="1"/>
    </xf>
    <xf numFmtId="0" fontId="4" fillId="0" borderId="0" xfId="0" applyFont="1" applyAlignment="1">
      <alignment vertical="center"/>
    </xf>
    <xf numFmtId="0" fontId="20" fillId="8" borderId="13" xfId="0" applyFont="1" applyFill="1" applyBorder="1" applyAlignment="1" applyProtection="1">
      <alignment horizontal="center" vertical="center" wrapText="1"/>
      <protection hidden="1"/>
    </xf>
    <xf numFmtId="0" fontId="20" fillId="8" borderId="14" xfId="0" applyFont="1" applyFill="1" applyBorder="1" applyAlignment="1" applyProtection="1">
      <alignment horizontal="center" vertical="center" wrapText="1"/>
      <protection hidden="1"/>
    </xf>
    <xf numFmtId="0" fontId="4" fillId="0" borderId="14" xfId="0" applyFont="1" applyBorder="1" applyAlignment="1">
      <alignment vertical="center"/>
    </xf>
    <xf numFmtId="0" fontId="47" fillId="0" borderId="14" xfId="0" applyFont="1" applyBorder="1" applyAlignment="1">
      <alignment vertical="center"/>
    </xf>
    <xf numFmtId="0" fontId="14" fillId="0" borderId="14" xfId="208" applyFont="1" applyBorder="1" applyAlignment="1">
      <alignment vertical="center"/>
    </xf>
    <xf numFmtId="0" fontId="48" fillId="0" borderId="14" xfId="0" applyFont="1" applyBorder="1" applyAlignment="1">
      <alignment vertical="center"/>
    </xf>
    <xf numFmtId="0" fontId="46" fillId="0" borderId="14" xfId="0" applyFont="1" applyBorder="1" applyAlignment="1">
      <alignment vertical="center"/>
    </xf>
    <xf numFmtId="0" fontId="49" fillId="0" borderId="14" xfId="0" applyFont="1" applyBorder="1" applyAlignment="1">
      <alignment vertical="center"/>
    </xf>
    <xf numFmtId="0" fontId="4" fillId="0" borderId="15" xfId="0" applyFont="1" applyBorder="1" applyAlignment="1">
      <alignment vertical="center"/>
    </xf>
    <xf numFmtId="0" fontId="7" fillId="2" borderId="0" xfId="208" applyFont="1" applyFill="1" applyAlignment="1">
      <alignment vertical="center"/>
    </xf>
    <xf numFmtId="0" fontId="50" fillId="0" borderId="0" xfId="208" applyFont="1" applyAlignment="1">
      <alignment vertical="center"/>
    </xf>
    <xf numFmtId="0" fontId="13" fillId="0" borderId="0" xfId="208" applyFont="1" applyAlignment="1">
      <alignment vertical="center"/>
    </xf>
    <xf numFmtId="176" fontId="13" fillId="0" borderId="0" xfId="1" applyFont="1" applyFill="1" applyAlignment="1">
      <alignment vertical="center"/>
    </xf>
    <xf numFmtId="0" fontId="7" fillId="2" borderId="0" xfId="208" applyFont="1" applyFill="1" applyAlignment="1">
      <alignment horizontal="left" vertical="center"/>
    </xf>
    <xf numFmtId="176" fontId="7" fillId="2" borderId="12" xfId="1" applyFont="1" applyFill="1" applyBorder="1" applyAlignment="1">
      <alignment horizontal="right" vertical="center" shrinkToFit="1"/>
    </xf>
    <xf numFmtId="0" fontId="13" fillId="3" borderId="19"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3" xfId="0" applyFont="1" applyFill="1" applyBorder="1" applyAlignment="1">
      <alignment horizontal="center" vertical="center"/>
    </xf>
    <xf numFmtId="0" fontId="9" fillId="0" borderId="6" xfId="0" applyFont="1" applyBorder="1" applyAlignment="1" applyProtection="1">
      <alignment vertical="center"/>
      <protection hidden="1"/>
    </xf>
    <xf numFmtId="176" fontId="39" fillId="4" borderId="7" xfId="236" applyFont="1" applyFill="1" applyBorder="1" applyAlignment="1">
      <alignment horizontal="right" vertical="center" shrinkToFit="1"/>
    </xf>
    <xf numFmtId="176" fontId="39" fillId="4" borderId="7" xfId="234" applyFont="1" applyFill="1" applyBorder="1" applyAlignment="1" applyProtection="1">
      <alignment horizontal="right" vertical="center" shrinkToFit="1"/>
      <protection hidden="1"/>
    </xf>
    <xf numFmtId="9" fontId="51" fillId="4" borderId="15" xfId="3" applyFont="1" applyFill="1" applyBorder="1" applyAlignment="1">
      <alignment horizontal="right" vertical="center" shrinkToFit="1"/>
    </xf>
    <xf numFmtId="0" fontId="14" fillId="0" borderId="9" xfId="208" applyFont="1" applyBorder="1" applyAlignment="1">
      <alignment horizontal="left" vertical="center"/>
    </xf>
    <xf numFmtId="176" fontId="14" fillId="0" borderId="9" xfId="1" applyFont="1" applyFill="1" applyBorder="1" applyAlignment="1">
      <alignment horizontal="right" vertical="center" shrinkToFit="1"/>
    </xf>
    <xf numFmtId="176" fontId="14" fillId="4" borderId="9" xfId="1" applyFont="1" applyFill="1" applyBorder="1" applyAlignment="1">
      <alignment horizontal="right" vertical="center" shrinkToFit="1"/>
    </xf>
    <xf numFmtId="0" fontId="14" fillId="0" borderId="9" xfId="208" applyFont="1" applyBorder="1" applyAlignment="1">
      <alignment vertical="center"/>
    </xf>
    <xf numFmtId="0" fontId="7" fillId="0" borderId="12" xfId="208" applyFont="1" applyBorder="1" applyAlignment="1">
      <alignment horizontal="left" vertical="center"/>
    </xf>
    <xf numFmtId="176" fontId="13" fillId="0" borderId="12" xfId="1" applyFont="1" applyFill="1" applyBorder="1" applyAlignment="1">
      <alignment horizontal="right" vertical="center"/>
    </xf>
    <xf numFmtId="0" fontId="13" fillId="0" borderId="12" xfId="208" applyFont="1" applyBorder="1" applyAlignment="1">
      <alignment vertical="center"/>
    </xf>
    <xf numFmtId="0" fontId="13" fillId="0" borderId="8" xfId="208" applyFont="1" applyBorder="1" applyAlignment="1">
      <alignment vertical="center"/>
    </xf>
    <xf numFmtId="176" fontId="13" fillId="0" borderId="9" xfId="1" applyFont="1" applyFill="1" applyBorder="1" applyAlignment="1">
      <alignment horizontal="right" vertical="center"/>
    </xf>
    <xf numFmtId="0" fontId="13" fillId="0" borderId="16" xfId="208" applyFont="1" applyBorder="1" applyAlignment="1">
      <alignment vertical="center"/>
    </xf>
    <xf numFmtId="0" fontId="13" fillId="0" borderId="10" xfId="208" applyFont="1" applyBorder="1" applyAlignment="1">
      <alignment vertical="center"/>
    </xf>
    <xf numFmtId="0" fontId="0" fillId="0" borderId="0" xfId="0" applyAlignment="1">
      <alignment vertical="center"/>
    </xf>
    <xf numFmtId="0" fontId="0" fillId="0" borderId="17" xfId="0" applyBorder="1" applyAlignment="1">
      <alignment vertical="center"/>
    </xf>
    <xf numFmtId="0" fontId="7" fillId="0" borderId="9" xfId="208" applyFont="1" applyBorder="1" applyAlignment="1">
      <alignment vertical="center"/>
    </xf>
    <xf numFmtId="0" fontId="0" fillId="0" borderId="9" xfId="0" applyBorder="1" applyAlignment="1">
      <alignment vertical="center"/>
    </xf>
    <xf numFmtId="0" fontId="7" fillId="0" borderId="0" xfId="208" applyFont="1" applyAlignment="1">
      <alignment horizontal="left" vertical="center"/>
    </xf>
    <xf numFmtId="176" fontId="13" fillId="0" borderId="0" xfId="1" applyFont="1" applyFill="1" applyAlignment="1">
      <alignment horizontal="left" vertical="center"/>
    </xf>
    <xf numFmtId="176" fontId="13" fillId="0" borderId="0" xfId="1" applyFont="1" applyFill="1" applyAlignment="1">
      <alignment horizontal="right" vertical="center"/>
    </xf>
    <xf numFmtId="0" fontId="13" fillId="0" borderId="0" xfId="1" applyNumberFormat="1" applyFont="1" applyFill="1" applyAlignment="1">
      <alignment vertical="center"/>
    </xf>
    <xf numFmtId="176" fontId="50" fillId="0" borderId="0" xfId="1" applyFont="1" applyFill="1" applyAlignment="1">
      <alignment horizontal="right" vertical="center"/>
    </xf>
    <xf numFmtId="176" fontId="13" fillId="0" borderId="0" xfId="1" applyFont="1" applyFill="1" applyBorder="1" applyAlignment="1">
      <alignment horizontal="right" vertical="center"/>
    </xf>
    <xf numFmtId="0" fontId="9" fillId="0" borderId="0" xfId="234" applyNumberFormat="1" applyFont="1" applyAlignment="1" applyProtection="1">
      <alignment horizontal="left" vertical="center"/>
      <protection locked="0"/>
    </xf>
    <xf numFmtId="0" fontId="13" fillId="0" borderId="0" xfId="0" applyFont="1" applyAlignment="1" applyProtection="1">
      <alignment vertical="center"/>
      <protection hidden="1"/>
    </xf>
    <xf numFmtId="0" fontId="14" fillId="0" borderId="0" xfId="208" applyFont="1" applyAlignment="1">
      <alignment horizontal="right" vertical="center"/>
    </xf>
    <xf numFmtId="0" fontId="13" fillId="0" borderId="0" xfId="0" applyFont="1" applyProtection="1">
      <protection hidden="1"/>
    </xf>
    <xf numFmtId="0" fontId="13" fillId="0" borderId="0" xfId="0" applyFont="1" applyProtection="1">
      <protection locked="0"/>
    </xf>
    <xf numFmtId="0" fontId="21" fillId="2" borderId="0" xfId="6" applyFont="1" applyFill="1" applyAlignment="1" applyProtection="1">
      <alignment vertical="center"/>
    </xf>
    <xf numFmtId="0" fontId="7" fillId="2" borderId="0" xfId="0" applyFont="1" applyFill="1" applyProtection="1">
      <protection hidden="1"/>
    </xf>
    <xf numFmtId="0" fontId="7" fillId="2" borderId="0" xfId="0" applyFont="1" applyFill="1" applyAlignment="1" applyProtection="1">
      <alignment vertical="center"/>
      <protection hidden="1"/>
    </xf>
    <xf numFmtId="0" fontId="52" fillId="0" borderId="0" xfId="0" applyFont="1" applyAlignment="1" applyProtection="1">
      <alignment vertical="center" textRotation="255"/>
      <protection hidden="1"/>
    </xf>
    <xf numFmtId="0" fontId="13" fillId="3" borderId="19" xfId="0" applyFont="1" applyFill="1" applyBorder="1" applyAlignment="1" applyProtection="1">
      <alignment horizontal="center" vertical="center" wrapText="1"/>
      <protection hidden="1"/>
    </xf>
    <xf numFmtId="0" fontId="13" fillId="3" borderId="3" xfId="0" applyFont="1" applyFill="1" applyBorder="1" applyAlignment="1" applyProtection="1">
      <alignment horizontal="center" vertical="center" wrapText="1"/>
      <protection hidden="1"/>
    </xf>
    <xf numFmtId="0" fontId="13" fillId="3" borderId="3" xfId="0" applyFont="1" applyFill="1" applyBorder="1" applyAlignment="1" applyProtection="1">
      <alignment horizontal="center" vertical="center"/>
      <protection hidden="1"/>
    </xf>
    <xf numFmtId="0" fontId="13" fillId="3" borderId="2" xfId="0" applyFont="1" applyFill="1" applyBorder="1" applyAlignment="1" applyProtection="1">
      <alignment horizontal="center" vertical="center"/>
      <protection hidden="1"/>
    </xf>
    <xf numFmtId="0" fontId="13" fillId="3" borderId="4" xfId="0" applyFont="1" applyFill="1" applyBorder="1" applyAlignment="1" applyProtection="1">
      <alignment horizontal="center" vertical="center" wrapText="1"/>
      <protection hidden="1"/>
    </xf>
    <xf numFmtId="0" fontId="13" fillId="3" borderId="5" xfId="0" applyFont="1" applyFill="1" applyBorder="1" applyAlignment="1" applyProtection="1">
      <alignment horizontal="center" vertical="center" wrapText="1"/>
      <protection hidden="1"/>
    </xf>
    <xf numFmtId="0" fontId="13" fillId="3" borderId="5" xfId="0" applyFont="1" applyFill="1" applyBorder="1" applyAlignment="1" applyProtection="1">
      <alignment horizontal="center" vertical="center"/>
      <protection hidden="1"/>
    </xf>
    <xf numFmtId="0" fontId="13" fillId="3" borderId="35" xfId="0" applyFont="1" applyFill="1" applyBorder="1" applyAlignment="1" applyProtection="1">
      <alignment horizontal="center" vertical="center"/>
      <protection hidden="1"/>
    </xf>
    <xf numFmtId="0" fontId="13" fillId="0" borderId="43" xfId="0" applyFont="1" applyBorder="1" applyAlignment="1" applyProtection="1">
      <alignment vertical="center"/>
      <protection hidden="1"/>
    </xf>
    <xf numFmtId="0" fontId="53" fillId="0" borderId="44" xfId="0" applyFont="1" applyBorder="1" applyAlignment="1" applyProtection="1">
      <alignment horizontal="center" vertical="center"/>
      <protection hidden="1"/>
    </xf>
    <xf numFmtId="191" fontId="17" fillId="4" borderId="45" xfId="0" applyNumberFormat="1" applyFont="1" applyFill="1" applyBorder="1" applyAlignment="1" applyProtection="1">
      <alignment horizontal="right" vertical="center" shrinkToFit="1"/>
      <protection hidden="1"/>
    </xf>
    <xf numFmtId="0" fontId="17" fillId="9" borderId="46" xfId="0" applyFont="1" applyFill="1" applyBorder="1" applyAlignment="1" applyProtection="1">
      <alignment horizontal="right" vertical="center" shrinkToFit="1"/>
      <protection hidden="1"/>
    </xf>
    <xf numFmtId="0" fontId="17" fillId="9" borderId="47" xfId="0" applyFont="1" applyFill="1" applyBorder="1" applyAlignment="1" applyProtection="1">
      <alignment horizontal="right" vertical="center" shrinkToFit="1"/>
      <protection hidden="1"/>
    </xf>
    <xf numFmtId="176" fontId="14" fillId="4" borderId="48" xfId="0" applyNumberFormat="1" applyFont="1" applyFill="1" applyBorder="1" applyAlignment="1" applyProtection="1">
      <alignment horizontal="right" vertical="center" shrinkToFit="1"/>
      <protection hidden="1"/>
    </xf>
    <xf numFmtId="0" fontId="52" fillId="0" borderId="0" xfId="0" applyFont="1" applyAlignment="1" applyProtection="1">
      <alignment vertical="center" textRotation="255"/>
      <protection locked="0"/>
    </xf>
    <xf numFmtId="0" fontId="13" fillId="0" borderId="22" xfId="0" applyFont="1" applyBorder="1" applyAlignment="1" applyProtection="1">
      <alignment horizontal="center" vertical="center"/>
      <protection locked="0"/>
    </xf>
    <xf numFmtId="0" fontId="13" fillId="0" borderId="48" xfId="0" applyFont="1" applyBorder="1" applyAlignment="1" applyProtection="1">
      <alignment vertical="center"/>
      <protection locked="0"/>
    </xf>
    <xf numFmtId="49" fontId="13" fillId="4" borderId="23" xfId="0" applyNumberFormat="1" applyFont="1" applyFill="1" applyBorder="1" applyAlignment="1" applyProtection="1">
      <alignment vertical="center"/>
      <protection locked="0"/>
    </xf>
    <xf numFmtId="0" fontId="13" fillId="4" borderId="23" xfId="0" applyFont="1" applyFill="1" applyBorder="1" applyAlignment="1" applyProtection="1">
      <alignment vertical="center"/>
      <protection locked="0"/>
    </xf>
    <xf numFmtId="176" fontId="14" fillId="0" borderId="48" xfId="0" applyNumberFormat="1" applyFont="1" applyBorder="1" applyAlignment="1" applyProtection="1">
      <alignment horizontal="right" vertical="center" shrinkToFit="1"/>
      <protection locked="0"/>
    </xf>
    <xf numFmtId="0" fontId="52" fillId="10" borderId="0" xfId="0" applyFont="1" applyFill="1" applyAlignment="1" applyProtection="1">
      <alignment vertical="center" textRotation="255"/>
      <protection locked="0"/>
    </xf>
    <xf numFmtId="0" fontId="13" fillId="0" borderId="24" xfId="0" applyFont="1" applyBorder="1" applyAlignment="1" applyProtection="1">
      <alignment horizontal="center" vertical="center"/>
      <protection locked="0"/>
    </xf>
    <xf numFmtId="0" fontId="13" fillId="0" borderId="49" xfId="0" applyFont="1" applyBorder="1" applyAlignment="1" applyProtection="1">
      <alignment vertical="center"/>
      <protection locked="0"/>
    </xf>
    <xf numFmtId="0" fontId="13" fillId="4" borderId="25" xfId="0" applyFont="1" applyFill="1" applyBorder="1" applyAlignment="1" applyProtection="1">
      <alignment vertical="center"/>
      <protection locked="0"/>
    </xf>
    <xf numFmtId="176" fontId="14" fillId="0" borderId="49" xfId="0" applyNumberFormat="1" applyFont="1" applyBorder="1" applyAlignment="1" applyProtection="1">
      <alignment horizontal="right" vertical="center" shrinkToFit="1"/>
      <protection locked="0"/>
    </xf>
    <xf numFmtId="0" fontId="7" fillId="2" borderId="0" xfId="0" applyFont="1" applyFill="1" applyAlignment="1">
      <alignment horizontal="right" vertical="center"/>
    </xf>
    <xf numFmtId="49" fontId="7" fillId="2" borderId="0" xfId="0" applyNumberFormat="1" applyFont="1" applyFill="1" applyAlignment="1">
      <alignment vertical="center"/>
    </xf>
    <xf numFmtId="0" fontId="30" fillId="2" borderId="0" xfId="6" applyFont="1" applyFill="1" applyAlignment="1" applyProtection="1">
      <alignment vertical="center"/>
    </xf>
    <xf numFmtId="0" fontId="13" fillId="3" borderId="13" xfId="0" applyFont="1" applyFill="1" applyBorder="1" applyAlignment="1" applyProtection="1">
      <alignment horizontal="center" vertical="center" wrapText="1"/>
      <protection hidden="1"/>
    </xf>
    <xf numFmtId="0" fontId="13" fillId="3" borderId="14" xfId="0" applyFont="1" applyFill="1" applyBorder="1" applyAlignment="1" applyProtection="1">
      <alignment horizontal="center" vertical="center" wrapText="1"/>
      <protection hidden="1"/>
    </xf>
    <xf numFmtId="0" fontId="53" fillId="0" borderId="50" xfId="0" applyFont="1" applyBorder="1" applyAlignment="1" applyProtection="1">
      <alignment horizontal="center" vertical="center"/>
      <protection hidden="1"/>
    </xf>
    <xf numFmtId="0" fontId="13" fillId="0" borderId="51" xfId="0" applyFont="1" applyBorder="1" applyAlignment="1" applyProtection="1">
      <alignment vertical="center"/>
      <protection locked="0"/>
    </xf>
    <xf numFmtId="0" fontId="13" fillId="0" borderId="52" xfId="0" applyFont="1" applyBorder="1" applyAlignment="1" applyProtection="1">
      <alignment vertical="center"/>
      <protection locked="0"/>
    </xf>
    <xf numFmtId="0" fontId="7" fillId="2" borderId="0" xfId="0" applyFont="1" applyFill="1"/>
    <xf numFmtId="0" fontId="14" fillId="0" borderId="0" xfId="0" applyFont="1"/>
    <xf numFmtId="0" fontId="14" fillId="0" borderId="0" xfId="210" applyFont="1" applyAlignment="1">
      <alignment vertical="center"/>
    </xf>
    <xf numFmtId="0" fontId="21" fillId="2" borderId="0" xfId="6" applyFont="1" applyFill="1" applyBorder="1" applyAlignment="1" applyProtection="1">
      <alignment vertical="center"/>
    </xf>
    <xf numFmtId="0" fontId="22" fillId="2" borderId="0" xfId="204" applyFont="1" applyFill="1" applyAlignment="1">
      <alignment vertical="center"/>
    </xf>
    <xf numFmtId="0" fontId="7" fillId="2" borderId="0" xfId="204" applyFont="1" applyFill="1" applyAlignment="1">
      <alignment vertical="center"/>
    </xf>
    <xf numFmtId="0" fontId="7" fillId="3" borderId="8" xfId="210" applyFont="1" applyFill="1" applyBorder="1" applyAlignment="1">
      <alignment horizontal="center" vertical="center"/>
    </xf>
    <xf numFmtId="0" fontId="7" fillId="3" borderId="9" xfId="210" applyFont="1" applyFill="1" applyBorder="1" applyAlignment="1">
      <alignment horizontal="center" vertical="center"/>
    </xf>
    <xf numFmtId="0" fontId="7" fillId="3" borderId="53" xfId="210" applyFont="1" applyFill="1" applyBorder="1" applyAlignment="1">
      <alignment horizontal="center" vertical="center"/>
    </xf>
    <xf numFmtId="0" fontId="13" fillId="3" borderId="54" xfId="210" applyFont="1" applyFill="1" applyBorder="1" applyAlignment="1">
      <alignment horizontal="center" vertical="center"/>
    </xf>
    <xf numFmtId="0" fontId="13" fillId="3" borderId="55" xfId="210" applyFont="1" applyFill="1" applyBorder="1" applyAlignment="1">
      <alignment horizontal="center" vertical="center"/>
    </xf>
    <xf numFmtId="0" fontId="7" fillId="3" borderId="56" xfId="210" applyFont="1" applyFill="1" applyBorder="1" applyAlignment="1">
      <alignment horizontal="center" vertical="center"/>
    </xf>
    <xf numFmtId="0" fontId="7" fillId="3" borderId="57" xfId="210" applyFont="1" applyFill="1" applyBorder="1" applyAlignment="1">
      <alignment horizontal="center" vertical="center"/>
    </xf>
    <xf numFmtId="0" fontId="7" fillId="3" borderId="58" xfId="210" applyFont="1" applyFill="1" applyBorder="1" applyAlignment="1">
      <alignment horizontal="center" vertical="center"/>
    </xf>
    <xf numFmtId="176" fontId="13" fillId="3" borderId="5" xfId="1" applyFont="1" applyFill="1" applyBorder="1" applyAlignment="1">
      <alignment horizontal="center" vertical="center" wrapText="1"/>
    </xf>
    <xf numFmtId="0" fontId="13" fillId="0" borderId="59" xfId="210" applyFont="1" applyBorder="1" applyAlignment="1">
      <alignment horizontal="center" vertical="center"/>
    </xf>
    <xf numFmtId="0" fontId="13" fillId="0" borderId="38" xfId="210" applyFont="1" applyBorder="1" applyAlignment="1">
      <alignment horizontal="center" vertical="center"/>
    </xf>
    <xf numFmtId="190" fontId="13" fillId="0" borderId="38" xfId="1" applyNumberFormat="1" applyFont="1" applyBorder="1" applyAlignment="1">
      <alignment horizontal="left" vertical="center" wrapText="1"/>
    </xf>
    <xf numFmtId="190" fontId="13" fillId="0" borderId="5" xfId="1" applyNumberFormat="1" applyFont="1" applyBorder="1" applyAlignment="1">
      <alignment horizontal="left" vertical="center" wrapText="1"/>
    </xf>
    <xf numFmtId="0" fontId="13" fillId="0" borderId="5" xfId="217" applyFont="1" applyBorder="1" applyAlignment="1">
      <alignment horizontal="center" vertical="center" wrapText="1"/>
    </xf>
    <xf numFmtId="0" fontId="7" fillId="3" borderId="4" xfId="217" applyFont="1" applyFill="1" applyBorder="1" applyAlignment="1">
      <alignment horizontal="center" vertical="center" wrapText="1"/>
    </xf>
    <xf numFmtId="0" fontId="7" fillId="3" borderId="38" xfId="217" applyFont="1" applyFill="1" applyBorder="1" applyAlignment="1">
      <alignment horizontal="center" vertical="center" wrapText="1"/>
    </xf>
    <xf numFmtId="0" fontId="26" fillId="3" borderId="5" xfId="217" applyFont="1" applyFill="1" applyBorder="1" applyAlignment="1">
      <alignment horizontal="center" vertical="center" wrapText="1"/>
    </xf>
    <xf numFmtId="0" fontId="14" fillId="3" borderId="5" xfId="217" applyFont="1" applyFill="1" applyBorder="1" applyAlignment="1">
      <alignment horizontal="center" vertical="center" wrapText="1"/>
    </xf>
    <xf numFmtId="0" fontId="13" fillId="3" borderId="4" xfId="210" applyFont="1" applyFill="1" applyBorder="1" applyAlignment="1">
      <alignment horizontal="center" vertical="center"/>
    </xf>
    <xf numFmtId="0" fontId="13" fillId="3" borderId="38" xfId="210" applyFont="1" applyFill="1" applyBorder="1" applyAlignment="1">
      <alignment horizontal="center" vertical="center"/>
    </xf>
    <xf numFmtId="0" fontId="13" fillId="3" borderId="5" xfId="217" applyFont="1" applyFill="1" applyBorder="1" applyAlignment="1">
      <alignment horizontal="center" vertical="center" wrapText="1"/>
    </xf>
    <xf numFmtId="176" fontId="13" fillId="0" borderId="60" xfId="1" applyFont="1" applyBorder="1" applyAlignment="1">
      <alignment horizontal="center" vertical="center" wrapText="1"/>
    </xf>
    <xf numFmtId="192" fontId="13" fillId="0" borderId="39" xfId="1" applyNumberFormat="1" applyFont="1" applyBorder="1" applyAlignment="1">
      <alignment horizontal="center" vertical="center" wrapText="1"/>
    </xf>
    <xf numFmtId="190" fontId="13" fillId="0" borderId="40" xfId="1" applyNumberFormat="1" applyFont="1" applyBorder="1" applyAlignment="1">
      <alignment horizontal="left" vertical="center" wrapText="1"/>
    </xf>
    <xf numFmtId="0" fontId="28" fillId="0" borderId="5" xfId="217" applyFont="1" applyBorder="1" applyAlignment="1">
      <alignment horizontal="center" vertical="center" wrapText="1"/>
    </xf>
    <xf numFmtId="0" fontId="26" fillId="0" borderId="5" xfId="1" applyNumberFormat="1" applyFont="1" applyBorder="1" applyAlignment="1">
      <alignment horizontal="center" vertical="center" wrapText="1"/>
    </xf>
    <xf numFmtId="176" fontId="14" fillId="0" borderId="5" xfId="1" applyFont="1" applyBorder="1" applyAlignment="1">
      <alignment horizontal="center" vertical="center" wrapText="1"/>
    </xf>
    <xf numFmtId="176" fontId="13" fillId="0" borderId="4" xfId="1" applyFont="1" applyBorder="1" applyAlignment="1">
      <alignment horizontal="center" vertical="center" wrapText="1"/>
    </xf>
    <xf numFmtId="192" fontId="13" fillId="0" borderId="38" xfId="1" applyNumberFormat="1" applyFont="1" applyBorder="1" applyAlignment="1">
      <alignment horizontal="center" vertical="center" wrapText="1"/>
    </xf>
    <xf numFmtId="190" fontId="13" fillId="0" borderId="5" xfId="1" applyNumberFormat="1" applyFont="1" applyBorder="1" applyAlignment="1">
      <alignment vertical="center" wrapText="1"/>
    </xf>
    <xf numFmtId="176" fontId="13" fillId="0" borderId="5" xfId="1" applyFont="1" applyBorder="1" applyAlignment="1">
      <alignment horizontal="center" vertical="center" wrapText="1"/>
    </xf>
    <xf numFmtId="190" fontId="13" fillId="0" borderId="5" xfId="1" applyNumberFormat="1" applyFont="1" applyBorder="1" applyAlignment="1">
      <alignment horizontal="justify" vertical="center" wrapText="1"/>
    </xf>
    <xf numFmtId="49" fontId="26" fillId="0" borderId="5" xfId="1" applyNumberFormat="1" applyFont="1" applyBorder="1" applyAlignment="1">
      <alignment horizontal="center" vertical="center" wrapText="1"/>
    </xf>
    <xf numFmtId="0" fontId="14" fillId="0" borderId="5" xfId="0" applyFont="1" applyBorder="1"/>
    <xf numFmtId="176" fontId="13" fillId="0" borderId="6" xfId="1" applyFont="1" applyBorder="1" applyAlignment="1">
      <alignment horizontal="center" vertical="center" wrapText="1"/>
    </xf>
    <xf numFmtId="192" fontId="13" fillId="0" borderId="42" xfId="1" applyNumberFormat="1" applyFont="1" applyBorder="1" applyAlignment="1">
      <alignment horizontal="center" vertical="center" wrapText="1"/>
    </xf>
    <xf numFmtId="190" fontId="13" fillId="0" borderId="7" xfId="1" applyNumberFormat="1" applyFont="1" applyBorder="1" applyAlignment="1">
      <alignment horizontal="justify" vertical="center" wrapText="1"/>
    </xf>
    <xf numFmtId="0" fontId="28" fillId="0" borderId="7" xfId="217" applyFont="1" applyBorder="1" applyAlignment="1">
      <alignment horizontal="center" vertical="center" wrapText="1"/>
    </xf>
    <xf numFmtId="0" fontId="26" fillId="0" borderId="7" xfId="1" applyNumberFormat="1" applyFont="1" applyBorder="1" applyAlignment="1">
      <alignment horizontal="center" vertical="center" wrapText="1"/>
    </xf>
    <xf numFmtId="176" fontId="14" fillId="0" borderId="7" xfId="1" applyFont="1" applyBorder="1" applyAlignment="1">
      <alignment horizontal="center" vertical="center" wrapText="1"/>
    </xf>
    <xf numFmtId="0" fontId="7" fillId="2" borderId="0" xfId="210" applyFont="1" applyFill="1" applyAlignment="1">
      <alignment horizontal="right" vertical="center"/>
    </xf>
    <xf numFmtId="188" fontId="7" fillId="2" borderId="0" xfId="210" applyNumberFormat="1" applyFont="1" applyFill="1" applyAlignment="1">
      <alignment horizontal="left" vertical="center"/>
    </xf>
    <xf numFmtId="0" fontId="13" fillId="3" borderId="61" xfId="210" applyFont="1" applyFill="1" applyBorder="1" applyAlignment="1">
      <alignment horizontal="center" vertical="center"/>
    </xf>
    <xf numFmtId="176" fontId="13" fillId="3" borderId="14" xfId="1" applyFont="1" applyFill="1" applyBorder="1" applyAlignment="1">
      <alignment horizontal="center" vertical="center" wrapText="1"/>
    </xf>
    <xf numFmtId="0" fontId="13" fillId="0" borderId="14" xfId="217" applyFont="1" applyBorder="1" applyAlignment="1">
      <alignment horizontal="center" vertical="center" wrapText="1"/>
    </xf>
    <xf numFmtId="0" fontId="14" fillId="3" borderId="14" xfId="217" applyFont="1" applyFill="1" applyBorder="1" applyAlignment="1">
      <alignment horizontal="center" vertical="center" wrapText="1"/>
    </xf>
    <xf numFmtId="176" fontId="14" fillId="0" borderId="14" xfId="1" applyFont="1" applyBorder="1" applyAlignment="1">
      <alignment horizontal="center" vertical="center" wrapText="1"/>
    </xf>
    <xf numFmtId="0" fontId="14" fillId="0" borderId="0" xfId="210" applyFont="1" applyAlignment="1">
      <alignment horizontal="center" vertical="center"/>
    </xf>
    <xf numFmtId="176" fontId="13" fillId="0" borderId="14" xfId="1" applyFont="1" applyBorder="1" applyAlignment="1">
      <alignment horizontal="center" vertical="center" wrapText="1"/>
    </xf>
    <xf numFmtId="176" fontId="13" fillId="0" borderId="15" xfId="1" applyFont="1" applyBorder="1" applyAlignment="1">
      <alignment horizontal="center" vertical="center" wrapText="1"/>
    </xf>
    <xf numFmtId="0" fontId="54" fillId="0" borderId="0" xfId="0" applyFont="1" applyAlignment="1">
      <alignment vertical="center"/>
    </xf>
    <xf numFmtId="0" fontId="55" fillId="0" borderId="0" xfId="0" applyFont="1" applyAlignment="1">
      <alignment vertical="center"/>
    </xf>
    <xf numFmtId="0" fontId="55" fillId="0" borderId="0" xfId="0" applyFont="1"/>
    <xf numFmtId="0" fontId="55" fillId="0" borderId="0" xfId="0" applyFont="1" applyAlignment="1">
      <alignment horizontal="center"/>
    </xf>
    <xf numFmtId="49" fontId="55" fillId="0" borderId="0" xfId="0" applyNumberFormat="1" applyFont="1"/>
    <xf numFmtId="49" fontId="54" fillId="0" borderId="0" xfId="0" applyNumberFormat="1" applyFont="1" applyAlignment="1">
      <alignment horizontal="center" vertical="center"/>
    </xf>
    <xf numFmtId="49" fontId="56" fillId="11" borderId="8" xfId="0" applyNumberFormat="1" applyFont="1" applyFill="1" applyBorder="1" applyAlignment="1">
      <alignment horizontal="center" vertical="center"/>
    </xf>
    <xf numFmtId="49" fontId="31" fillId="11" borderId="9" xfId="0" applyNumberFormat="1" applyFont="1" applyFill="1" applyBorder="1" applyAlignment="1">
      <alignment horizontal="center" vertical="center"/>
    </xf>
    <xf numFmtId="49" fontId="31" fillId="11" borderId="16" xfId="0" applyNumberFormat="1" applyFont="1" applyFill="1" applyBorder="1" applyAlignment="1">
      <alignment horizontal="center" vertical="center"/>
    </xf>
    <xf numFmtId="49" fontId="9" fillId="0" borderId="62" xfId="0" applyNumberFormat="1" applyFont="1" applyFill="1" applyBorder="1" applyAlignment="1">
      <alignment horizontal="left" vertical="center"/>
    </xf>
    <xf numFmtId="49" fontId="9" fillId="0" borderId="55" xfId="0" applyNumberFormat="1" applyFont="1" applyFill="1" applyBorder="1" applyAlignment="1">
      <alignment horizontal="left" vertical="center"/>
    </xf>
    <xf numFmtId="0" fontId="9" fillId="12" borderId="8" xfId="0" applyFont="1" applyFill="1" applyBorder="1" applyAlignment="1">
      <alignment horizontal="center" vertical="center"/>
    </xf>
    <xf numFmtId="49" fontId="9" fillId="12" borderId="9" xfId="0" applyNumberFormat="1" applyFont="1" applyFill="1" applyBorder="1" applyAlignment="1">
      <alignment horizontal="center" vertical="center"/>
    </xf>
    <xf numFmtId="49" fontId="9" fillId="12" borderId="16" xfId="0" applyNumberFormat="1" applyFont="1" applyFill="1" applyBorder="1" applyAlignment="1">
      <alignment horizontal="center" vertical="center"/>
    </xf>
    <xf numFmtId="49" fontId="57" fillId="0" borderId="4" xfId="0" applyNumberFormat="1" applyFont="1" applyBorder="1" applyAlignment="1">
      <alignment horizontal="left" vertical="center"/>
    </xf>
    <xf numFmtId="49" fontId="57" fillId="0" borderId="5" xfId="0" applyNumberFormat="1" applyFont="1" applyBorder="1" applyAlignment="1">
      <alignment vertical="center"/>
    </xf>
    <xf numFmtId="49" fontId="9" fillId="12" borderId="10" xfId="0" applyNumberFormat="1" applyFont="1" applyFill="1" applyBorder="1" applyAlignment="1">
      <alignment horizontal="center" vertical="center"/>
    </xf>
    <xf numFmtId="49" fontId="58" fillId="12" borderId="0" xfId="6" applyNumberFormat="1" applyFont="1" applyFill="1" applyBorder="1" applyAlignment="1" applyProtection="1">
      <alignment horizontal="left" vertical="center"/>
    </xf>
    <xf numFmtId="0" fontId="13" fillId="13" borderId="0" xfId="0" applyFont="1" applyFill="1" applyAlignment="1">
      <alignment horizontal="center" vertical="center"/>
    </xf>
    <xf numFmtId="0" fontId="9" fillId="12" borderId="17" xfId="0" applyFont="1" applyFill="1" applyBorder="1" applyAlignment="1">
      <alignment horizontal="left" vertical="center"/>
    </xf>
    <xf numFmtId="49" fontId="57" fillId="0" borderId="5" xfId="0" applyNumberFormat="1" applyFont="1" applyBorder="1" applyAlignment="1">
      <alignment horizontal="left" vertical="center"/>
    </xf>
    <xf numFmtId="49" fontId="57" fillId="0" borderId="6" xfId="0" applyNumberFormat="1" applyFont="1" applyBorder="1" applyAlignment="1">
      <alignment horizontal="left" vertical="center"/>
    </xf>
    <xf numFmtId="49" fontId="57" fillId="0" borderId="7" xfId="0" applyNumberFormat="1" applyFont="1" applyBorder="1" applyAlignment="1">
      <alignment horizontal="left" vertical="center"/>
    </xf>
    <xf numFmtId="0" fontId="59" fillId="0" borderId="0" xfId="0" applyFont="1" applyAlignment="1">
      <alignment horizontal="left" vertical="center"/>
    </xf>
    <xf numFmtId="49" fontId="9" fillId="0" borderId="0" xfId="0" applyNumberFormat="1" applyFont="1" applyAlignment="1">
      <alignment vertical="center"/>
    </xf>
    <xf numFmtId="49" fontId="9" fillId="12" borderId="11" xfId="0" applyNumberFormat="1" applyFont="1" applyFill="1" applyBorder="1" applyAlignment="1">
      <alignment horizontal="center" vertical="center"/>
    </xf>
    <xf numFmtId="49" fontId="58" fillId="12" borderId="12" xfId="6" applyNumberFormat="1" applyFont="1" applyFill="1" applyBorder="1" applyAlignment="1" applyProtection="1">
      <alignment horizontal="left" vertical="center"/>
    </xf>
    <xf numFmtId="0" fontId="13" fillId="13" borderId="12" xfId="0" applyFont="1" applyFill="1" applyBorder="1" applyAlignment="1">
      <alignment horizontal="center" vertical="center"/>
    </xf>
    <xf numFmtId="0" fontId="9" fillId="12" borderId="18" xfId="0" applyFont="1" applyFill="1" applyBorder="1" applyAlignment="1">
      <alignment horizontal="left" vertical="center"/>
    </xf>
    <xf numFmtId="49" fontId="60" fillId="0" borderId="0" xfId="0" applyNumberFormat="1" applyFont="1" applyAlignment="1">
      <alignment horizontal="left" vertical="center"/>
    </xf>
    <xf numFmtId="49" fontId="31" fillId="0" borderId="55" xfId="0" applyNumberFormat="1" applyFont="1" applyFill="1" applyBorder="1" applyAlignment="1">
      <alignment horizontal="left" vertical="center"/>
    </xf>
    <xf numFmtId="49" fontId="54" fillId="0" borderId="55" xfId="0" applyNumberFormat="1" applyFont="1" applyFill="1" applyBorder="1" applyAlignment="1">
      <alignment horizontal="left" vertical="center"/>
    </xf>
    <xf numFmtId="49" fontId="54" fillId="0" borderId="61" xfId="0" applyNumberFormat="1" applyFont="1" applyFill="1" applyBorder="1" applyAlignment="1">
      <alignment horizontal="left" vertical="center"/>
    </xf>
    <xf numFmtId="49" fontId="61" fillId="0" borderId="5" xfId="0" applyNumberFormat="1" applyFont="1" applyBorder="1" applyAlignment="1">
      <alignment vertical="center"/>
    </xf>
    <xf numFmtId="0" fontId="9" fillId="0" borderId="14" xfId="0" applyFont="1" applyBorder="1" applyAlignment="1">
      <alignment vertical="center"/>
    </xf>
    <xf numFmtId="49" fontId="61" fillId="0" borderId="5" xfId="0" applyNumberFormat="1" applyFont="1" applyBorder="1" applyAlignment="1">
      <alignment horizontal="left" vertical="center"/>
    </xf>
    <xf numFmtId="49" fontId="9" fillId="0" borderId="14" xfId="0" applyNumberFormat="1" applyFont="1" applyBorder="1" applyAlignment="1">
      <alignment horizontal="left" vertical="center"/>
    </xf>
    <xf numFmtId="49" fontId="61" fillId="0" borderId="7" xfId="0" applyNumberFormat="1" applyFont="1" applyBorder="1" applyAlignment="1">
      <alignment horizontal="left" vertical="center"/>
    </xf>
    <xf numFmtId="49" fontId="9" fillId="0" borderId="15" xfId="0" applyNumberFormat="1" applyFont="1" applyBorder="1" applyAlignment="1">
      <alignment horizontal="left" vertical="center"/>
    </xf>
    <xf numFmtId="189" fontId="9" fillId="0" borderId="0" xfId="0" applyNumberFormat="1" applyFont="1" applyAlignment="1">
      <alignment vertical="center"/>
    </xf>
    <xf numFmtId="1" fontId="28" fillId="3" borderId="3" xfId="215" applyNumberFormat="1" applyFont="1" applyFill="1" applyBorder="1" applyAlignment="1" applyProtection="1" quotePrefix="1">
      <alignment horizontal="center" vertical="center"/>
      <protection locked="0"/>
    </xf>
    <xf numFmtId="0" fontId="13" fillId="3" borderId="19" xfId="215" applyFont="1" applyFill="1" applyBorder="1" applyAlignment="1" applyProtection="1" quotePrefix="1">
      <alignment horizontal="center" vertical="center"/>
      <protection locked="0"/>
    </xf>
    <xf numFmtId="0" fontId="13" fillId="3" borderId="3" xfId="215" applyFont="1" applyFill="1" applyBorder="1" applyAlignment="1" applyProtection="1" quotePrefix="1">
      <alignment horizontal="center" vertical="center"/>
      <protection locked="0"/>
    </xf>
    <xf numFmtId="0" fontId="7" fillId="0" borderId="1" xfId="216" applyFont="1" applyBorder="1" applyAlignment="1" applyProtection="1" quotePrefix="1">
      <alignment horizontal="center" vertical="center" wrapText="1"/>
      <protection locked="0"/>
    </xf>
    <xf numFmtId="0" fontId="7" fillId="0" borderId="2" xfId="216" applyFont="1" applyBorder="1" applyAlignment="1" applyProtection="1" quotePrefix="1">
      <alignment horizontal="center" vertical="center" wrapText="1"/>
      <protection locked="0"/>
    </xf>
  </cellXfs>
  <cellStyles count="2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x000a_mouse.drv=lm" xfId="49"/>
    <cellStyle name="_ET_STYLE_NoName_00_" xfId="50"/>
    <cellStyle name="Calc Currency (0)" xfId="51"/>
    <cellStyle name="ColLevel_0" xfId="52"/>
    <cellStyle name="Comma [0]_1995" xfId="53"/>
    <cellStyle name="Comma_1995" xfId="54"/>
    <cellStyle name="Currency [0]_1995" xfId="55"/>
    <cellStyle name="Currency_1995" xfId="56"/>
    <cellStyle name="Header1" xfId="57"/>
    <cellStyle name="Header2" xfId="58"/>
    <cellStyle name="no dec" xfId="59"/>
    <cellStyle name="Normal_#10-Headcount" xfId="60"/>
    <cellStyle name="RowLevel_0" xfId="61"/>
    <cellStyle name="百分比 2" xfId="62"/>
    <cellStyle name="百分比 4" xfId="63"/>
    <cellStyle name="差_Book1" xfId="64"/>
    <cellStyle name="差_文法2011-2012学年续放款名单(2009年签订贷款合同的" xfId="65"/>
    <cellStyle name="常规 10" xfId="66"/>
    <cellStyle name="常规 10 2" xfId="67"/>
    <cellStyle name="常规 10 2 2" xfId="68"/>
    <cellStyle name="常规 10 3" xfId="69"/>
    <cellStyle name="常规 100" xfId="70"/>
    <cellStyle name="常规 101" xfId="71"/>
    <cellStyle name="常规 102" xfId="72"/>
    <cellStyle name="常规 105" xfId="73"/>
    <cellStyle name="常规 106" xfId="74"/>
    <cellStyle name="常规 109" xfId="75"/>
    <cellStyle name="常规 11" xfId="76"/>
    <cellStyle name="常规 110" xfId="77"/>
    <cellStyle name="常规 111" xfId="78"/>
    <cellStyle name="常规 112" xfId="79"/>
    <cellStyle name="常规 114" xfId="80"/>
    <cellStyle name="常规 115" xfId="81"/>
    <cellStyle name="常规 116" xfId="82"/>
    <cellStyle name="常规 117" xfId="83"/>
    <cellStyle name="常规 118" xfId="84"/>
    <cellStyle name="常规 119" xfId="85"/>
    <cellStyle name="常规 12" xfId="86"/>
    <cellStyle name="常规 120" xfId="87"/>
    <cellStyle name="常规 121" xfId="88"/>
    <cellStyle name="常规 122" xfId="89"/>
    <cellStyle name="常规 123" xfId="90"/>
    <cellStyle name="常规 129" xfId="91"/>
    <cellStyle name="常规 13" xfId="92"/>
    <cellStyle name="常规 130" xfId="93"/>
    <cellStyle name="常规 131" xfId="94"/>
    <cellStyle name="常规 132" xfId="95"/>
    <cellStyle name="常规 133" xfId="96"/>
    <cellStyle name="常规 134" xfId="97"/>
    <cellStyle name="常规 135" xfId="98"/>
    <cellStyle name="常规 14" xfId="99"/>
    <cellStyle name="常规 15" xfId="100"/>
    <cellStyle name="常规 16" xfId="101"/>
    <cellStyle name="常规 17" xfId="102"/>
    <cellStyle name="常规 18" xfId="103"/>
    <cellStyle name="常规 19" xfId="104"/>
    <cellStyle name="常规 2" xfId="105"/>
    <cellStyle name="常规 2 12" xfId="106"/>
    <cellStyle name="常规 2 2" xfId="107"/>
    <cellStyle name="常规 2 2 2" xfId="108"/>
    <cellStyle name="常规 2 2 2 2" xfId="109"/>
    <cellStyle name="常规 2 2 2 2 2" xfId="110"/>
    <cellStyle name="常规 2 2 9" xfId="111"/>
    <cellStyle name="常规 2 2_Sheet1" xfId="112"/>
    <cellStyle name="常规 2 3" xfId="113"/>
    <cellStyle name="常规 2_08威华股份预填" xfId="114"/>
    <cellStyle name="常规 2_08威华股份预填 2" xfId="115"/>
    <cellStyle name="常规 20" xfId="116"/>
    <cellStyle name="常规 21" xfId="117"/>
    <cellStyle name="常规 22" xfId="118"/>
    <cellStyle name="常规 23" xfId="119"/>
    <cellStyle name="常规 24" xfId="120"/>
    <cellStyle name="常规 25" xfId="121"/>
    <cellStyle name="常规 26" xfId="122"/>
    <cellStyle name="常规 27" xfId="123"/>
    <cellStyle name="常规 28" xfId="124"/>
    <cellStyle name="常规 29" xfId="125"/>
    <cellStyle name="常规 3" xfId="126"/>
    <cellStyle name="常规 3 2" xfId="127"/>
    <cellStyle name="常规 30" xfId="128"/>
    <cellStyle name="常规 31" xfId="129"/>
    <cellStyle name="常规 32" xfId="130"/>
    <cellStyle name="常规 33" xfId="131"/>
    <cellStyle name="常规 34" xfId="132"/>
    <cellStyle name="常规 35" xfId="133"/>
    <cellStyle name="常规 36" xfId="134"/>
    <cellStyle name="常规 37" xfId="135"/>
    <cellStyle name="常规 38" xfId="136"/>
    <cellStyle name="常规 39" xfId="137"/>
    <cellStyle name="常规 4" xfId="138"/>
    <cellStyle name="常规 40" xfId="139"/>
    <cellStyle name="常规 41" xfId="140"/>
    <cellStyle name="常规 42" xfId="141"/>
    <cellStyle name="常规 43" xfId="142"/>
    <cellStyle name="常规 44" xfId="143"/>
    <cellStyle name="常规 45" xfId="144"/>
    <cellStyle name="常规 46" xfId="145"/>
    <cellStyle name="常规 47" xfId="146"/>
    <cellStyle name="常规 48" xfId="147"/>
    <cellStyle name="常规 49" xfId="148"/>
    <cellStyle name="常规 5" xfId="149"/>
    <cellStyle name="常规 50" xfId="150"/>
    <cellStyle name="常规 51" xfId="151"/>
    <cellStyle name="常规 52" xfId="152"/>
    <cellStyle name="常规 53" xfId="153"/>
    <cellStyle name="常规 54" xfId="154"/>
    <cellStyle name="常规 55" xfId="155"/>
    <cellStyle name="常规 56" xfId="156"/>
    <cellStyle name="常规 57" xfId="157"/>
    <cellStyle name="常规 58" xfId="158"/>
    <cellStyle name="常规 59" xfId="159"/>
    <cellStyle name="常规 6" xfId="160"/>
    <cellStyle name="常规 60" xfId="161"/>
    <cellStyle name="常规 61" xfId="162"/>
    <cellStyle name="常规 62" xfId="163"/>
    <cellStyle name="常规 63" xfId="164"/>
    <cellStyle name="常规 64" xfId="165"/>
    <cellStyle name="常规 65" xfId="166"/>
    <cellStyle name="常规 66" xfId="167"/>
    <cellStyle name="常规 67" xfId="168"/>
    <cellStyle name="常规 68" xfId="169"/>
    <cellStyle name="常规 69" xfId="170"/>
    <cellStyle name="常规 7" xfId="171"/>
    <cellStyle name="常规 70" xfId="172"/>
    <cellStyle name="常规 71" xfId="173"/>
    <cellStyle name="常规 72" xfId="174"/>
    <cellStyle name="常规 73" xfId="175"/>
    <cellStyle name="常规 74" xfId="176"/>
    <cellStyle name="常规 75" xfId="177"/>
    <cellStyle name="常规 76" xfId="178"/>
    <cellStyle name="常规 77" xfId="179"/>
    <cellStyle name="常规 78" xfId="180"/>
    <cellStyle name="常规 79" xfId="181"/>
    <cellStyle name="常规 8" xfId="182"/>
    <cellStyle name="常规 80" xfId="183"/>
    <cellStyle name="常规 81" xfId="184"/>
    <cellStyle name="常规 82" xfId="185"/>
    <cellStyle name="常规 83" xfId="186"/>
    <cellStyle name="常规 84" xfId="187"/>
    <cellStyle name="常规 85" xfId="188"/>
    <cellStyle name="常规 86" xfId="189"/>
    <cellStyle name="常规 87" xfId="190"/>
    <cellStyle name="常规 88" xfId="191"/>
    <cellStyle name="常规 89" xfId="192"/>
    <cellStyle name="常规 9" xfId="193"/>
    <cellStyle name="常规 91" xfId="194"/>
    <cellStyle name="常规 92" xfId="195"/>
    <cellStyle name="常规 93" xfId="196"/>
    <cellStyle name="常规 94" xfId="197"/>
    <cellStyle name="常规 95" xfId="198"/>
    <cellStyle name="常规 96" xfId="199"/>
    <cellStyle name="常规 97" xfId="200"/>
    <cellStyle name="常规 98" xfId="201"/>
    <cellStyle name="常规 99" xfId="202"/>
    <cellStyle name="常规_SE 管理费用" xfId="203"/>
    <cellStyle name="常规_Sheet1" xfId="204"/>
    <cellStyle name="常规_Sheet1 2" xfId="205"/>
    <cellStyle name="常规_虹桥底稿－陈" xfId="206"/>
    <cellStyle name="常规_虹桥底稿－陈 2" xfId="207"/>
    <cellStyle name="常规_货币资金C" xfId="208"/>
    <cellStyle name="常规_货币资金C 2" xfId="209"/>
    <cellStyle name="常规_控制测试底稿" xfId="210"/>
    <cellStyle name="常规_控制测试底稿 2" xfId="211"/>
    <cellStyle name="常规_审计底稿-负债类" xfId="212"/>
    <cellStyle name="常规_审计工作底稿参考格式（试用）2002.2_会计预填2" xfId="213"/>
    <cellStyle name="常规_审计工作底稿参考格式（试用）2002.2_会计预填2 2" xfId="214"/>
    <cellStyle name="常规_索正中珠江底稿模板1--调整索引01(邓）" xfId="215"/>
    <cellStyle name="常规_索正中珠江底稿模板1--调整索引01(邓） 2" xfId="216"/>
    <cellStyle name="常规_细节测试样本" xfId="217"/>
    <cellStyle name="常规_细节测试样本 2" xfId="218"/>
    <cellStyle name="超链接 2" xfId="219"/>
    <cellStyle name="好_Book1" xfId="220"/>
    <cellStyle name="好_文法2011-2012学年续放款名单(2009年签订贷款合同的" xfId="221"/>
    <cellStyle name="货币 18" xfId="222"/>
    <cellStyle name="货币 29" xfId="223"/>
    <cellStyle name="货币 7" xfId="224"/>
    <cellStyle name="霓付 [0]_97MBO" xfId="225"/>
    <cellStyle name="霓付_97MBO" xfId="226"/>
    <cellStyle name="烹拳 [0]_97MBO" xfId="227"/>
    <cellStyle name="烹拳_97MBO" xfId="228"/>
    <cellStyle name="普通_ 白土" xfId="229"/>
    <cellStyle name="千分位[0]_ 白土" xfId="230"/>
    <cellStyle name="千分位_ 白土" xfId="231"/>
    <cellStyle name="千位[0]_97试算平衡" xfId="232"/>
    <cellStyle name="千位_97试算平衡" xfId="233"/>
    <cellStyle name="千位分隔 15" xfId="234"/>
    <cellStyle name="千位分隔 2" xfId="235"/>
    <cellStyle name="千位分隔 2 2" xfId="236"/>
    <cellStyle name="千位分隔 2 2 2" xfId="237"/>
    <cellStyle name="千位分隔 2 2 2 2" xfId="238"/>
    <cellStyle name="千位分隔 2 2 2 3" xfId="239"/>
    <cellStyle name="千位分隔 2 2 4" xfId="240"/>
    <cellStyle name="千位分隔 3" xfId="241"/>
    <cellStyle name="千位分隔 3 2" xfId="242"/>
    <cellStyle name="千位分隔 3 3" xfId="243"/>
    <cellStyle name="钎霖_laroux" xfId="244"/>
    <cellStyle name="样式 1" xfId="245"/>
    <cellStyle name="콤마 [0]_BOILER-CO1" xfId="246"/>
    <cellStyle name="콤마_BOILER-CO1" xfId="247"/>
    <cellStyle name="통화 [0]_BOILER-CO1" xfId="248"/>
    <cellStyle name="통화_BOILER-CO1" xfId="249"/>
    <cellStyle name="표준_0N-HANDLING " xfId="250"/>
  </cellStyles>
  <tableStyles count="0" defaultTableStyle="TableStyleMedium9"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6.xml"/><Relationship Id="rId2" Type="http://schemas.openxmlformats.org/officeDocument/2006/relationships/worksheet" Target="worksheets/sheet2.xml"/><Relationship Id="rId19" Type="http://schemas.openxmlformats.org/officeDocument/2006/relationships/externalLink" Target="externalLinks/externalLink5.xml"/><Relationship Id="rId18" Type="http://schemas.openxmlformats.org/officeDocument/2006/relationships/externalLink" Target="externalLinks/externalLink4.xml"/><Relationship Id="rId17" Type="http://schemas.openxmlformats.org/officeDocument/2006/relationships/externalLink" Target="externalLinks/externalLink3.xml"/><Relationship Id="rId16" Type="http://schemas.openxmlformats.org/officeDocument/2006/relationships/externalLink" Target="externalLinks/externalLink2.xml"/><Relationship Id="rId15" Type="http://schemas.openxmlformats.org/officeDocument/2006/relationships/externalLink" Target="externalLinks/externalLink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ua-7h0325\&#22269;&#38469;&#28207;&#21153;&#38598;&#22242;\04&#24180;7&#26376;-05&#24180;6&#26376;\bak&#19981;&#35201;&#29992;\WINDOWS\TEMP\notesE1EF34\work\2004\&#19978;&#28023;&#28207;&#21153;&#38598;&#22242;\IPO\&#26412;&#37096;\wp\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13;&#31295;&#23884;&#20837;&#30340;TB&#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360&#20113;&#30424;\&#21407;F&#30424;&#36164;&#26009;\2015&#24180;&#36136;&#25511;&#30456;&#20851;&#36164;&#26009;\&#20013;&#32844;&#20449;&#26631;&#20934;&#21270;&#24314;&#35774;\&#39033;&#30446;&#32452;&#25104;&#21592;&#25552;&#20132;&#30340;&#24213;&#31295;&#35774;&#35745;&#31295;\&#38472;&#38901;&#26726;\FD&#24212;&#20184;&#36134;&#27454;&#65288;&#27169;&#29256;&#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60&#20113;&#30424;\&#21407;F&#30424;&#36164;&#26009;\&#19987;&#39033;&#23457;&#35745;&#25253;&#21578;\&#20013;&#23665;&#20845;&#38498;\&#20013;&#23665;&#20845;&#38498;2014&#24180;&#24230;&#23457;&#35745;\&#23454;&#36136;&#24615;&#24213;&#31295;-2014\&#38472;&#38901;&#26726;\&#20854;&#20182;&#24212;&#25910;&#2745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360&#20113;&#30424;\&#21407;F&#30424;&#36164;&#26009;\&#19987;&#39033;&#23457;&#35745;&#25253;&#21578;\&#20013;&#23665;&#20845;&#38498;\&#20013;&#23665;&#20845;&#38498;2014&#24180;&#24230;&#23457;&#35745;\&#23454;&#36136;&#24615;&#24213;&#31295;-2014\&#38472;&#38901;&#26726;\&#20854;&#20182;&#24212;&#25910;&#2745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360&#20113;&#30424;\&#21407;F&#30424;&#36164;&#26009;\2015&#24180;&#36136;&#25511;&#30456;&#20851;&#36164;&#26009;\&#20013;&#32844;&#20449;&#26631;&#20934;&#21270;&#24314;&#35774;\&#39033;&#30446;&#32452;&#25104;&#21592;&#25552;&#20132;&#30340;&#24213;&#31295;&#35774;&#35745;&#31295;\&#38472;&#38901;&#26726;\FD&#24212;&#20184;&#36134;&#27454;&#65288;&#27169;&#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 val="CS"/>
      <sheetName val="各公司简称"/>
      <sheetName val="编码表"/>
      <sheetName val="WP-02"/>
      <sheetName val="函证对象基础表1"/>
      <sheetName val="科目表（总）"/>
      <sheetName val="WP-03"/>
      <sheetName val="FL"/>
      <sheetName val="WP-05"/>
      <sheetName val="固定资产汇总表A17-1"/>
      <sheetName val="UFPrn20180206201449"/>
      <sheetName val="无形资产汇总表A21-1"/>
      <sheetName val="公司清单"/>
      <sheetName val="Sheet3"/>
      <sheetName val="三和软件"/>
      <sheetName val="基础信息设置"/>
      <sheetName val="其他应收款"/>
      <sheetName val="应付账款审定表"/>
      <sheetName val="index"/>
      <sheetName val="中储"/>
      <sheetName val="凌益"/>
      <sheetName val="eqpmad2"/>
      <sheetName val="银行存款明细表"/>
      <sheetName val="_Profile"/>
      <sheetName val="3收止"/>
      <sheetName val="往来科目余额明细表"/>
      <sheetName val=" "/>
      <sheetName val="B001(Y)"/>
      <sheetName val="FZ"/>
      <sheetName val="Sheet2"/>
      <sheetName val="Sheet4"/>
      <sheetName val="Sheet5"/>
      <sheetName val="基础数据"/>
      <sheetName val="调整分录"/>
      <sheetName val="WP-04-G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B"/>
      <sheetName val="ZZX-Template"/>
      <sheetName val="log"/>
    </sheetNames>
    <sheetDataSet>
      <sheetData sheetId="0"/>
      <sheetData sheetId="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_formula_"/>
      <sheetName val="基本信息及目录"/>
      <sheetName val="应付账款实质性程序"/>
      <sheetName val="计划实施的实质性程序"/>
      <sheetName val="应付账款审定表"/>
      <sheetName val="附注披露表-建筑集团、广州日报"/>
      <sheetName val="附注披露表-珠实集团"/>
      <sheetName val="附注披露表-广晟"/>
      <sheetName val="附注披露表-轻工集团"/>
      <sheetName val="附注披露表-一般企业"/>
      <sheetName val="应付账款明细表"/>
      <sheetName val="应付账款核对表"/>
      <sheetName val="未入账应付账款汇总表"/>
      <sheetName val="应付账款日后付款测试表"/>
      <sheetName val="未处理的供应商发票测试表"/>
      <sheetName val="拨发函单位联系方式一览表"/>
      <sheetName val="应付账款函证结果汇总表"/>
      <sheetName val="应付账款函证差异调节表检查"/>
      <sheetName val="应付账款替代测试表"/>
      <sheetName val="应付账款检查情况表"/>
      <sheetName val="其他应收款明细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其他应收款实质性程序"/>
      <sheetName val="计划实施的实质性程序其他应收款"/>
      <sheetName val="其他应收款审定表"/>
      <sheetName val="其他应收款明细表"/>
      <sheetName val="_formula_"/>
      <sheetName val="帐龄辅助表"/>
      <sheetName val="其他应收款函证结果汇总表"/>
      <sheetName val="其他应收款函证结果调节表"/>
      <sheetName val="其他应收款替代测试表-韦景法"/>
      <sheetName val="其他应收款替代测试表-中山大学附属胃肠肛门医院"/>
      <sheetName val="其他应收款替代测试表 (2)"/>
      <sheetName val="其他应收款坏账准备计算表"/>
      <sheetName val="其他应收款检查情况表"/>
      <sheetName val="坏账准备审核表"/>
      <sheetName val="调整分录汇总"/>
      <sheetName val="TB"/>
      <sheetName val="关联交易-存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_formula_"/>
      <sheetName val="基本信息及目录"/>
      <sheetName val="应付账款实质性程序"/>
      <sheetName val="计划实施的实质性程序"/>
      <sheetName val="应付账款审定表"/>
      <sheetName val="附注披露表-建筑集团、广州日报"/>
      <sheetName val="附注披露表-珠实集团"/>
      <sheetName val="附注披露表-广晟"/>
      <sheetName val="附注披露表-轻工集团"/>
      <sheetName val="附注披露表-一般企业"/>
      <sheetName val="应付账款明细表"/>
      <sheetName val="应付账款核对表"/>
      <sheetName val="未入账应付账款汇总表"/>
      <sheetName val="应付账款日后付款测试表"/>
      <sheetName val="未处理的供应商发票测试表"/>
      <sheetName val="拨发函单位联系方式一览表"/>
      <sheetName val="应付账款函证结果汇总表"/>
      <sheetName val="应付账款函证差异调节表检查"/>
      <sheetName val="应付账款替代测试表"/>
      <sheetName val="应付账款检查情况表"/>
      <sheetName val="其他应收款明细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B1:L100"/>
  <sheetViews>
    <sheetView showGridLines="0" showZeros="0" workbookViewId="0">
      <pane ySplit="3" topLeftCell="A4" activePane="bottomLeft" state="frozen"/>
      <selection/>
      <selection pane="bottomLeft" activeCell="C7" sqref="C7"/>
    </sheetView>
  </sheetViews>
  <sheetFormatPr defaultColWidth="9" defaultRowHeight="15.75"/>
  <cols>
    <col min="1" max="1" width="2" style="555" customWidth="1"/>
    <col min="2" max="2" width="8.4" style="556" customWidth="1"/>
    <col min="3" max="3" width="27.5" style="557" customWidth="1"/>
    <col min="4" max="4" width="12" style="555" customWidth="1"/>
    <col min="5" max="5" width="9" style="558"/>
    <col min="6" max="6" width="9" style="555"/>
    <col min="7" max="7" width="13.7" style="555" customWidth="1"/>
    <col min="8" max="8" width="26.8083333333333" style="555" customWidth="1"/>
    <col min="9" max="9" width="13.6583333333333" style="555" customWidth="1"/>
    <col min="10" max="10" width="8.9" style="555" customWidth="1"/>
    <col min="11" max="11" width="10.4" style="555" customWidth="1"/>
    <col min="12" max="16384" width="9" style="555"/>
  </cols>
  <sheetData>
    <row r="1" ht="14.1" customHeight="1"/>
    <row r="2" s="553" customFormat="1" ht="26.7" customHeight="1" spans="2:12">
      <c r="B2" s="559" t="s">
        <v>0</v>
      </c>
      <c r="C2" s="560"/>
      <c r="D2" s="560"/>
      <c r="E2" s="561"/>
      <c r="G2" s="562" t="s">
        <v>1</v>
      </c>
      <c r="H2" s="563"/>
      <c r="I2" s="583"/>
      <c r="J2" s="584"/>
      <c r="K2" s="584"/>
      <c r="L2" s="585"/>
    </row>
    <row r="3" s="554" customFormat="1" ht="27" customHeight="1" spans="2:12">
      <c r="B3" s="564" t="s">
        <v>2</v>
      </c>
      <c r="C3" s="565" t="s">
        <v>3</v>
      </c>
      <c r="D3" s="565" t="s">
        <v>4</v>
      </c>
      <c r="E3" s="566" t="s">
        <v>5</v>
      </c>
      <c r="G3" s="567" t="s">
        <v>6</v>
      </c>
      <c r="H3" s="568" t="s">
        <v>7</v>
      </c>
      <c r="I3" s="573" t="s">
        <v>8</v>
      </c>
      <c r="J3" s="586" t="s">
        <v>9</v>
      </c>
      <c r="K3" s="573" t="s">
        <v>10</v>
      </c>
      <c r="L3" s="587" t="s">
        <v>11</v>
      </c>
    </row>
    <row r="4" s="554" customFormat="1" ht="27" customHeight="1" spans="2:12">
      <c r="B4" s="569" t="s">
        <v>12</v>
      </c>
      <c r="C4" s="570" t="s">
        <v>13</v>
      </c>
      <c r="D4" s="571" t="s">
        <v>14</v>
      </c>
      <c r="E4" s="572">
        <v>4110</v>
      </c>
      <c r="G4" s="567" t="s">
        <v>15</v>
      </c>
      <c r="H4" s="573" t="s">
        <v>16</v>
      </c>
      <c r="I4" s="573" t="s">
        <v>17</v>
      </c>
      <c r="J4" s="588" t="s">
        <v>18</v>
      </c>
      <c r="K4" s="573" t="s">
        <v>19</v>
      </c>
      <c r="L4" s="589" t="s">
        <v>20</v>
      </c>
    </row>
    <row r="5" s="554" customFormat="1" ht="27" customHeight="1" spans="2:12">
      <c r="B5" s="569" t="s">
        <v>21</v>
      </c>
      <c r="C5" s="570" t="s">
        <v>22</v>
      </c>
      <c r="D5" s="571" t="s">
        <v>14</v>
      </c>
      <c r="E5" s="572" t="s">
        <v>21</v>
      </c>
      <c r="G5" s="574" t="s">
        <v>23</v>
      </c>
      <c r="H5" s="575" t="s">
        <v>24</v>
      </c>
      <c r="I5" s="575" t="s">
        <v>25</v>
      </c>
      <c r="J5" s="590" t="s">
        <v>26</v>
      </c>
      <c r="K5" s="575" t="s">
        <v>19</v>
      </c>
      <c r="L5" s="591" t="s">
        <v>27</v>
      </c>
    </row>
    <row r="6" s="554" customFormat="1" ht="27" customHeight="1" spans="2:11">
      <c r="B6" s="569" t="s">
        <v>28</v>
      </c>
      <c r="C6" s="570" t="s">
        <v>29</v>
      </c>
      <c r="D6" s="571" t="s">
        <v>14</v>
      </c>
      <c r="E6" s="572" t="s">
        <v>28</v>
      </c>
      <c r="G6" s="576"/>
      <c r="H6" s="577"/>
      <c r="I6" s="577"/>
      <c r="J6" s="577"/>
      <c r="K6" s="592"/>
    </row>
    <row r="7" s="554" customFormat="1" ht="27" customHeight="1" spans="2:11">
      <c r="B7" s="569" t="s">
        <v>30</v>
      </c>
      <c r="C7" s="570" t="s">
        <v>31</v>
      </c>
      <c r="D7" s="571" t="s">
        <v>14</v>
      </c>
      <c r="E7" s="572" t="s">
        <v>30</v>
      </c>
      <c r="G7" s="576"/>
      <c r="H7" s="577"/>
      <c r="I7" s="577"/>
      <c r="J7" s="577"/>
      <c r="K7" s="592"/>
    </row>
    <row r="8" s="554" customFormat="1" ht="27" customHeight="1" spans="2:11">
      <c r="B8" s="569" t="s">
        <v>32</v>
      </c>
      <c r="C8" s="570" t="s">
        <v>33</v>
      </c>
      <c r="D8" s="571" t="s">
        <v>14</v>
      </c>
      <c r="E8" s="572" t="s">
        <v>32</v>
      </c>
      <c r="G8" s="576"/>
      <c r="H8" s="577"/>
      <c r="I8" s="577"/>
      <c r="J8" s="577"/>
      <c r="K8" s="592"/>
    </row>
    <row r="9" s="554" customFormat="1" ht="27" customHeight="1" spans="2:11">
      <c r="B9" s="569" t="s">
        <v>34</v>
      </c>
      <c r="C9" s="570" t="s">
        <v>35</v>
      </c>
      <c r="D9" s="571" t="s">
        <v>14</v>
      </c>
      <c r="E9" s="572" t="s">
        <v>34</v>
      </c>
      <c r="G9" s="576"/>
      <c r="H9" s="577"/>
      <c r="I9" s="577"/>
      <c r="J9" s="577"/>
      <c r="K9" s="592"/>
    </row>
    <row r="10" s="554" customFormat="1" ht="27" customHeight="1" spans="2:11">
      <c r="B10" s="569" t="s">
        <v>36</v>
      </c>
      <c r="C10" s="570" t="s">
        <v>37</v>
      </c>
      <c r="D10" s="571" t="s">
        <v>14</v>
      </c>
      <c r="E10" s="572" t="s">
        <v>36</v>
      </c>
      <c r="G10" s="576"/>
      <c r="H10" s="577"/>
      <c r="I10" s="577"/>
      <c r="J10" s="577"/>
      <c r="K10" s="592"/>
    </row>
    <row r="11" s="554" customFormat="1" ht="27" customHeight="1" spans="2:11">
      <c r="B11" s="578" t="s">
        <v>38</v>
      </c>
      <c r="C11" s="579" t="s">
        <v>39</v>
      </c>
      <c r="D11" s="580" t="s">
        <v>14</v>
      </c>
      <c r="E11" s="581" t="s">
        <v>38</v>
      </c>
      <c r="G11" s="576"/>
      <c r="H11" s="577"/>
      <c r="I11" s="577"/>
      <c r="J11" s="577"/>
      <c r="K11" s="592"/>
    </row>
    <row r="12" ht="27" customHeight="1" spans="2:5">
      <c r="B12" s="557"/>
      <c r="E12" s="582"/>
    </row>
    <row r="13" ht="27" customHeight="1" spans="5:7">
      <c r="E13" s="582"/>
      <c r="G13" s="554"/>
    </row>
    <row r="14" ht="27" customHeight="1" spans="5:5">
      <c r="E14" s="582"/>
    </row>
    <row r="15" ht="27" customHeight="1" spans="5:5">
      <c r="E15" s="582"/>
    </row>
    <row r="16" ht="27" customHeight="1" spans="5:5">
      <c r="E16" s="582"/>
    </row>
    <row r="17" ht="27" customHeight="1" spans="5:5">
      <c r="E17" s="582"/>
    </row>
    <row r="18" ht="27" customHeight="1" spans="5:5">
      <c r="E18" s="582"/>
    </row>
    <row r="19" ht="27" customHeight="1" spans="5:5">
      <c r="E19" s="582"/>
    </row>
    <row r="20" ht="27" customHeight="1" spans="5:5">
      <c r="E20" s="582"/>
    </row>
    <row r="21" ht="27" customHeight="1" spans="5:5">
      <c r="E21" s="582"/>
    </row>
    <row r="22" ht="27" customHeight="1" spans="5:5">
      <c r="E22" s="582"/>
    </row>
    <row r="23" ht="27" customHeight="1" spans="5:5">
      <c r="E23" s="582"/>
    </row>
    <row r="24" ht="27" customHeight="1" spans="5:5">
      <c r="E24" s="582"/>
    </row>
    <row r="25" ht="27" customHeight="1" spans="5:5">
      <c r="E25" s="582"/>
    </row>
    <row r="26" ht="27" customHeight="1" spans="5:5">
      <c r="E26" s="582"/>
    </row>
    <row r="27" ht="27" customHeight="1" spans="5:5">
      <c r="E27" s="582"/>
    </row>
    <row r="28" ht="27" customHeight="1" spans="5:5">
      <c r="E28" s="582"/>
    </row>
    <row r="29" ht="27" customHeight="1" spans="5:5">
      <c r="E29" s="582"/>
    </row>
    <row r="30" ht="27" customHeight="1" spans="5:5">
      <c r="E30" s="582"/>
    </row>
    <row r="31" ht="27" customHeight="1" spans="5:5">
      <c r="E31" s="582"/>
    </row>
    <row r="32" ht="27" customHeight="1" spans="5:5">
      <c r="E32" s="582"/>
    </row>
    <row r="33" ht="27" customHeight="1" spans="5:5">
      <c r="E33" s="582"/>
    </row>
    <row r="34" spans="5:5">
      <c r="E34" s="582"/>
    </row>
    <row r="35" spans="5:5">
      <c r="E35" s="582"/>
    </row>
    <row r="36" spans="5:5">
      <c r="E36" s="582"/>
    </row>
    <row r="37" spans="5:5">
      <c r="E37" s="582"/>
    </row>
    <row r="38" spans="5:5">
      <c r="E38" s="582"/>
    </row>
    <row r="39" spans="5:5">
      <c r="E39" s="582"/>
    </row>
    <row r="40" spans="5:5">
      <c r="E40" s="582"/>
    </row>
    <row r="41" spans="5:5">
      <c r="E41" s="582"/>
    </row>
    <row r="42" spans="5:5">
      <c r="E42" s="582"/>
    </row>
    <row r="43" spans="5:5">
      <c r="E43" s="582"/>
    </row>
    <row r="44" spans="5:5">
      <c r="E44" s="582"/>
    </row>
    <row r="45" spans="5:5">
      <c r="E45" s="582"/>
    </row>
    <row r="46" spans="5:5">
      <c r="E46" s="582"/>
    </row>
    <row r="47" spans="5:5">
      <c r="E47" s="582"/>
    </row>
    <row r="48" spans="5:5">
      <c r="E48" s="582"/>
    </row>
    <row r="49" spans="5:5">
      <c r="E49" s="582"/>
    </row>
    <row r="50" spans="5:5">
      <c r="E50" s="582"/>
    </row>
    <row r="51" spans="5:5">
      <c r="E51" s="582"/>
    </row>
    <row r="52" spans="5:5">
      <c r="E52" s="582"/>
    </row>
    <row r="53" spans="5:5">
      <c r="E53" s="582"/>
    </row>
    <row r="54" spans="5:5">
      <c r="E54" s="582"/>
    </row>
    <row r="55" spans="5:5">
      <c r="E55" s="582"/>
    </row>
    <row r="56" spans="5:5">
      <c r="E56" s="582"/>
    </row>
    <row r="57" spans="5:5">
      <c r="E57" s="582"/>
    </row>
    <row r="58" spans="5:5">
      <c r="E58" s="582"/>
    </row>
    <row r="59" spans="5:5">
      <c r="E59" s="582"/>
    </row>
    <row r="60" spans="5:5">
      <c r="E60" s="582"/>
    </row>
    <row r="61" spans="5:5">
      <c r="E61" s="582"/>
    </row>
    <row r="62" spans="5:5">
      <c r="E62" s="582"/>
    </row>
    <row r="63" spans="5:5">
      <c r="E63" s="582"/>
    </row>
    <row r="64" spans="5:5">
      <c r="E64" s="582"/>
    </row>
    <row r="65" spans="5:5">
      <c r="E65" s="582"/>
    </row>
    <row r="66" spans="5:5">
      <c r="E66" s="582"/>
    </row>
    <row r="67" spans="5:5">
      <c r="E67" s="582"/>
    </row>
    <row r="68" spans="5:5">
      <c r="E68" s="582"/>
    </row>
    <row r="69" spans="5:5">
      <c r="E69" s="582"/>
    </row>
    <row r="70" spans="5:5">
      <c r="E70" s="582"/>
    </row>
    <row r="71" spans="5:5">
      <c r="E71" s="582"/>
    </row>
    <row r="72" spans="5:5">
      <c r="E72" s="582"/>
    </row>
    <row r="73" spans="5:5">
      <c r="E73" s="582"/>
    </row>
    <row r="74" spans="5:5">
      <c r="E74" s="582"/>
    </row>
    <row r="75" spans="5:5">
      <c r="E75" s="582"/>
    </row>
    <row r="76" spans="5:5">
      <c r="E76" s="582"/>
    </row>
    <row r="77" spans="5:5">
      <c r="E77" s="582"/>
    </row>
    <row r="78" spans="5:5">
      <c r="E78" s="582"/>
    </row>
    <row r="79" spans="5:5">
      <c r="E79" s="582"/>
    </row>
    <row r="80" spans="5:5">
      <c r="E80" s="582"/>
    </row>
    <row r="81" spans="5:5">
      <c r="E81" s="582"/>
    </row>
    <row r="82" spans="5:5">
      <c r="E82" s="582"/>
    </row>
    <row r="83" spans="5:5">
      <c r="E83" s="582"/>
    </row>
    <row r="84" spans="5:5">
      <c r="E84" s="582"/>
    </row>
    <row r="85" spans="5:5">
      <c r="E85" s="582"/>
    </row>
    <row r="86" spans="5:5">
      <c r="E86" s="582"/>
    </row>
    <row r="87" spans="5:5">
      <c r="E87" s="582"/>
    </row>
    <row r="88" spans="5:5">
      <c r="E88" s="582"/>
    </row>
    <row r="89" spans="5:5">
      <c r="E89" s="582"/>
    </row>
    <row r="90" spans="5:5">
      <c r="E90" s="582"/>
    </row>
    <row r="91" spans="5:5">
      <c r="E91" s="582"/>
    </row>
    <row r="92" spans="5:5">
      <c r="E92" s="582"/>
    </row>
    <row r="93" spans="5:5">
      <c r="E93" s="582"/>
    </row>
    <row r="94" spans="5:5">
      <c r="E94" s="582"/>
    </row>
    <row r="95" spans="5:5">
      <c r="E95" s="582"/>
    </row>
    <row r="96" spans="5:5">
      <c r="E96" s="582"/>
    </row>
    <row r="97" spans="5:5">
      <c r="E97" s="582"/>
    </row>
    <row r="98" spans="5:5">
      <c r="E98" s="582"/>
    </row>
    <row r="99" spans="5:5">
      <c r="E99" s="582"/>
    </row>
    <row r="100" spans="5:5">
      <c r="E100" s="582"/>
    </row>
  </sheetData>
  <sheetProtection formatCells="0" insertHyperlinks="0" autoFilter="0"/>
  <mergeCells count="1">
    <mergeCell ref="B2:E2"/>
  </mergeCells>
  <dataValidations count="1">
    <dataValidation type="list" allowBlank="1" showInputMessage="1" showErrorMessage="1" sqref="D4:D11">
      <formula1>"是,否"</formula1>
    </dataValidation>
  </dataValidations>
  <hyperlinks>
    <hyperlink ref="C4" location="'4110'!A1" display="管理费用程序表"/>
    <hyperlink ref="C5" location="'4110-1'!A1" display="管理费用审计调整分录"/>
    <hyperlink ref="C6" location="'4110-2'!A1" display="管理费用审定表"/>
    <hyperlink ref="C7" location="'4110-3'!A1" display="管理费用明细表"/>
    <hyperlink ref="C8" location="'4110-4'!A1" display="管理费用两期对比表"/>
    <hyperlink ref="C9" location="'4110-5'!A1" display="大额管理费用合同检查表"/>
    <hyperlink ref="C10" location="'4110-6'!A1" display="管理费用截止性测试"/>
    <hyperlink ref="C11" location="'4110-7'!A1" display="管理费用凭证抽查表"/>
  </hyperlinks>
  <printOptions horizontalCentered="1"/>
  <pageMargins left="0.590551181102362" right="0.196850393700787" top="0.984251968503937" bottom="0.984251968503937" header="0.511811023622047" footer="0.511811023622047"/>
  <pageSetup paperSize="9" scale="97" firstPageNumber="4294963191" orientation="landscape" blackAndWhite="1" useFirstPageNumber="1"/>
  <headerFooter alignWithMargins="0"/>
  <ignoredErrors>
    <ignoredError sqref="B4"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M27"/>
  <sheetViews>
    <sheetView showGridLines="0" showZeros="0" workbookViewId="0">
      <pane ySplit="5" topLeftCell="A6" activePane="bottomLeft" state="frozen"/>
      <selection/>
      <selection pane="bottomLeft" activeCell="L2" sqref="L2"/>
    </sheetView>
  </sheetViews>
  <sheetFormatPr defaultColWidth="9" defaultRowHeight="15.75"/>
  <cols>
    <col min="1" max="1" width="2.7" customWidth="1"/>
    <col min="2" max="2" width="8.1" customWidth="1"/>
    <col min="3" max="3" width="5.7" customWidth="1"/>
    <col min="4" max="4" width="33.6" customWidth="1"/>
    <col min="5" max="5" width="4.7" customWidth="1"/>
    <col min="6" max="6" width="7.2" customWidth="1"/>
    <col min="7" max="7" width="6.1" customWidth="1"/>
    <col min="8" max="8" width="6.5" customWidth="1"/>
    <col min="9" max="9" width="7.1" customWidth="1"/>
    <col min="10" max="10" width="7.7" customWidth="1"/>
    <col min="11" max="11" width="7.2" customWidth="1"/>
  </cols>
  <sheetData>
    <row r="1" s="497" customFormat="1" ht="28.5" customHeight="1" spans="1:13">
      <c r="A1" s="500" t="s">
        <v>40</v>
      </c>
      <c r="B1" s="501" t="s">
        <v>41</v>
      </c>
      <c r="C1" s="502"/>
      <c r="D1" s="502"/>
      <c r="E1" s="502"/>
      <c r="F1" s="502"/>
      <c r="G1" s="502"/>
      <c r="H1" s="502"/>
      <c r="I1" s="502"/>
      <c r="J1" s="502"/>
      <c r="K1" s="502" t="s">
        <v>42</v>
      </c>
      <c r="L1" s="100">
        <f>目录!E4</f>
        <v>4110</v>
      </c>
      <c r="M1" s="101"/>
    </row>
    <row r="2" s="497" customFormat="1" ht="25.95" customHeight="1" spans="2:11">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123"/>
      <c r="D2" s="123"/>
      <c r="E2" s="123"/>
      <c r="F2" s="123"/>
      <c r="G2" s="123"/>
      <c r="H2" s="123"/>
      <c r="I2" s="543"/>
      <c r="J2" s="102"/>
      <c r="K2" s="543"/>
    </row>
    <row r="3" s="497" customFormat="1" ht="12" customHeight="1" spans="2:11">
      <c r="B3" s="123"/>
      <c r="C3" s="123"/>
      <c r="D3" s="123"/>
      <c r="E3" s="123"/>
      <c r="F3" s="123"/>
      <c r="G3" s="123"/>
      <c r="H3" s="123"/>
      <c r="I3" s="543"/>
      <c r="J3" s="544"/>
      <c r="K3" s="543"/>
    </row>
    <row r="4" s="498" customFormat="1" ht="27.9" customHeight="1" spans="2:11">
      <c r="B4" s="503" t="s">
        <v>43</v>
      </c>
      <c r="C4" s="504"/>
      <c r="D4" s="504"/>
      <c r="E4" s="504"/>
      <c r="F4" s="505"/>
      <c r="G4" s="506" t="s">
        <v>44</v>
      </c>
      <c r="H4" s="507"/>
      <c r="I4" s="507"/>
      <c r="J4" s="507"/>
      <c r="K4" s="545"/>
    </row>
    <row r="5" s="498" customFormat="1" ht="27.9" customHeight="1" spans="2:11">
      <c r="B5" s="508"/>
      <c r="C5" s="509"/>
      <c r="D5" s="509"/>
      <c r="E5" s="509"/>
      <c r="F5" s="510"/>
      <c r="G5" s="511" t="s">
        <v>45</v>
      </c>
      <c r="H5" s="511" t="s">
        <v>46</v>
      </c>
      <c r="I5" s="511" t="s">
        <v>47</v>
      </c>
      <c r="J5" s="511" t="s">
        <v>48</v>
      </c>
      <c r="K5" s="546" t="s">
        <v>49</v>
      </c>
    </row>
    <row r="6" s="366" customFormat="1" ht="27.9" customHeight="1" spans="2:11">
      <c r="B6" s="512" t="s">
        <v>50</v>
      </c>
      <c r="C6" s="513"/>
      <c r="D6" s="514" t="s">
        <v>51</v>
      </c>
      <c r="E6" s="515"/>
      <c r="F6" s="515"/>
      <c r="G6" s="516" t="s">
        <v>52</v>
      </c>
      <c r="H6" s="516"/>
      <c r="I6" s="516"/>
      <c r="J6" s="516"/>
      <c r="K6" s="547"/>
    </row>
    <row r="7" s="366" customFormat="1" ht="27.9" customHeight="1" spans="2:11">
      <c r="B7" s="512" t="s">
        <v>53</v>
      </c>
      <c r="C7" s="513"/>
      <c r="D7" s="514" t="s">
        <v>54</v>
      </c>
      <c r="E7" s="515"/>
      <c r="F7" s="515"/>
      <c r="G7" s="516"/>
      <c r="H7" s="516" t="s">
        <v>52</v>
      </c>
      <c r="I7" s="516"/>
      <c r="J7" s="516"/>
      <c r="K7" s="547"/>
    </row>
    <row r="8" s="366" customFormat="1" ht="27.9" customHeight="1" spans="2:11">
      <c r="B8" s="512" t="s">
        <v>55</v>
      </c>
      <c r="C8" s="513"/>
      <c r="D8" s="514" t="s">
        <v>56</v>
      </c>
      <c r="E8" s="515"/>
      <c r="F8" s="515"/>
      <c r="G8" s="516"/>
      <c r="H8" s="516"/>
      <c r="I8" s="516" t="s">
        <v>52</v>
      </c>
      <c r="J8" s="516"/>
      <c r="K8" s="547"/>
    </row>
    <row r="9" s="366" customFormat="1" ht="27.9" customHeight="1" spans="2:11">
      <c r="B9" s="512" t="s">
        <v>57</v>
      </c>
      <c r="C9" s="513"/>
      <c r="D9" s="514" t="s">
        <v>58</v>
      </c>
      <c r="E9" s="515"/>
      <c r="F9" s="515"/>
      <c r="G9" s="516"/>
      <c r="H9" s="516"/>
      <c r="I9" s="516"/>
      <c r="J9" s="516" t="s">
        <v>52</v>
      </c>
      <c r="K9" s="547"/>
    </row>
    <row r="10" s="366" customFormat="1" ht="27.9" customHeight="1" spans="2:11">
      <c r="B10" s="512" t="s">
        <v>59</v>
      </c>
      <c r="C10" s="513"/>
      <c r="D10" s="514" t="s">
        <v>60</v>
      </c>
      <c r="E10" s="515"/>
      <c r="F10" s="515"/>
      <c r="G10" s="516"/>
      <c r="H10" s="516"/>
      <c r="I10" s="516"/>
      <c r="J10" s="516"/>
      <c r="K10" s="547" t="s">
        <v>52</v>
      </c>
    </row>
    <row r="11" s="498" customFormat="1" ht="27.9" customHeight="1" spans="2:11">
      <c r="B11" s="517" t="s">
        <v>61</v>
      </c>
      <c r="C11" s="518"/>
      <c r="D11" s="519"/>
      <c r="E11" s="519"/>
      <c r="F11" s="519"/>
      <c r="G11" s="519"/>
      <c r="H11" s="520"/>
      <c r="I11" s="520"/>
      <c r="J11" s="520"/>
      <c r="K11" s="548"/>
    </row>
    <row r="12" s="498" customFormat="1" ht="27.9" customHeight="1" spans="2:11">
      <c r="B12" s="521" t="s">
        <v>43</v>
      </c>
      <c r="C12" s="522" t="s">
        <v>62</v>
      </c>
      <c r="D12" s="523" t="s">
        <v>63</v>
      </c>
      <c r="E12" s="523" t="s">
        <v>64</v>
      </c>
      <c r="F12" s="523" t="s">
        <v>5</v>
      </c>
      <c r="G12" s="511" t="s">
        <v>45</v>
      </c>
      <c r="H12" s="511" t="s">
        <v>46</v>
      </c>
      <c r="I12" s="511" t="s">
        <v>47</v>
      </c>
      <c r="J12" s="511" t="s">
        <v>48</v>
      </c>
      <c r="K12" s="546" t="s">
        <v>49</v>
      </c>
    </row>
    <row r="13" s="499" customFormat="1" ht="92.4" customHeight="1" spans="2:13">
      <c r="B13" s="524" t="s">
        <v>55</v>
      </c>
      <c r="C13" s="525">
        <v>1</v>
      </c>
      <c r="D13" s="526" t="s">
        <v>65</v>
      </c>
      <c r="E13" s="527" t="s">
        <v>14</v>
      </c>
      <c r="F13" s="528" t="str">
        <f>目录!E7</f>
        <v>4110-3</v>
      </c>
      <c r="G13" s="529"/>
      <c r="H13" s="529"/>
      <c r="I13" s="533" t="s">
        <v>52</v>
      </c>
      <c r="J13" s="529"/>
      <c r="K13" s="549"/>
      <c r="M13" s="550"/>
    </row>
    <row r="14" s="499" customFormat="1" ht="114.75" spans="2:11">
      <c r="B14" s="530" t="s">
        <v>66</v>
      </c>
      <c r="C14" s="531">
        <v>2</v>
      </c>
      <c r="D14" s="532" t="s">
        <v>67</v>
      </c>
      <c r="E14" s="527" t="s">
        <v>14</v>
      </c>
      <c r="F14" s="528" t="str">
        <f>目录!E8</f>
        <v>4110-4</v>
      </c>
      <c r="G14" s="533" t="s">
        <v>52</v>
      </c>
      <c r="H14" s="533" t="s">
        <v>52</v>
      </c>
      <c r="I14" s="533" t="s">
        <v>52</v>
      </c>
      <c r="J14" s="529"/>
      <c r="K14" s="549"/>
    </row>
    <row r="15" s="499" customFormat="1" ht="54.75" customHeight="1" spans="2:11">
      <c r="B15" s="524" t="s">
        <v>59</v>
      </c>
      <c r="C15" s="525">
        <v>3</v>
      </c>
      <c r="D15" s="526" t="s">
        <v>68</v>
      </c>
      <c r="E15" s="527" t="s">
        <v>14</v>
      </c>
      <c r="F15" s="528" t="str">
        <f>目录!E7</f>
        <v>4110-3</v>
      </c>
      <c r="G15" s="529"/>
      <c r="H15" s="529"/>
      <c r="I15" s="529"/>
      <c r="J15" s="529"/>
      <c r="K15" s="551" t="s">
        <v>52</v>
      </c>
    </row>
    <row r="16" s="499" customFormat="1" ht="66.6" customHeight="1" spans="2:11">
      <c r="B16" s="530" t="s">
        <v>66</v>
      </c>
      <c r="C16" s="531">
        <v>4</v>
      </c>
      <c r="D16" s="534" t="s">
        <v>69</v>
      </c>
      <c r="E16" s="527" t="s">
        <v>14</v>
      </c>
      <c r="F16" s="528" t="str">
        <f>目录!E11</f>
        <v>4110-7</v>
      </c>
      <c r="G16" s="533" t="s">
        <v>52</v>
      </c>
      <c r="H16" s="533" t="s">
        <v>52</v>
      </c>
      <c r="I16" s="533" t="s">
        <v>52</v>
      </c>
      <c r="J16" s="529"/>
      <c r="K16" s="549"/>
    </row>
    <row r="17" s="499" customFormat="1" ht="38.25" spans="2:11">
      <c r="B17" s="530" t="s">
        <v>66</v>
      </c>
      <c r="C17" s="525">
        <v>5</v>
      </c>
      <c r="D17" s="534" t="s">
        <v>70</v>
      </c>
      <c r="E17" s="527" t="s">
        <v>14</v>
      </c>
      <c r="F17" s="528" t="str">
        <f>目录!E11</f>
        <v>4110-7</v>
      </c>
      <c r="G17" s="533" t="s">
        <v>52</v>
      </c>
      <c r="H17" s="533" t="s">
        <v>52</v>
      </c>
      <c r="I17" s="533" t="s">
        <v>52</v>
      </c>
      <c r="J17" s="529"/>
      <c r="K17" s="549"/>
    </row>
    <row r="18" s="499" customFormat="1" ht="38.25" spans="2:11">
      <c r="B18" s="530" t="s">
        <v>66</v>
      </c>
      <c r="C18" s="531">
        <v>6</v>
      </c>
      <c r="D18" s="534" t="s">
        <v>71</v>
      </c>
      <c r="E18" s="527" t="s">
        <v>14</v>
      </c>
      <c r="F18" s="528" t="str">
        <f>目录!E11</f>
        <v>4110-7</v>
      </c>
      <c r="G18" s="533" t="s">
        <v>52</v>
      </c>
      <c r="H18" s="533" t="s">
        <v>52</v>
      </c>
      <c r="I18" s="533" t="s">
        <v>52</v>
      </c>
      <c r="J18" s="529"/>
      <c r="K18" s="549"/>
    </row>
    <row r="19" s="499" customFormat="1" ht="63.75" spans="2:11">
      <c r="B19" s="530" t="s">
        <v>66</v>
      </c>
      <c r="C19" s="525">
        <v>7</v>
      </c>
      <c r="D19" s="534" t="s">
        <v>72</v>
      </c>
      <c r="E19" s="527" t="s">
        <v>14</v>
      </c>
      <c r="F19" s="528" t="str">
        <f>目录!E11</f>
        <v>4110-7</v>
      </c>
      <c r="G19" s="533" t="s">
        <v>52</v>
      </c>
      <c r="H19" s="533" t="s">
        <v>52</v>
      </c>
      <c r="I19" s="533" t="s">
        <v>52</v>
      </c>
      <c r="J19" s="529"/>
      <c r="K19" s="549"/>
    </row>
    <row r="20" s="499" customFormat="1" ht="28.5" customHeight="1" spans="2:11">
      <c r="B20" s="530" t="s">
        <v>55</v>
      </c>
      <c r="C20" s="531">
        <v>8</v>
      </c>
      <c r="D20" s="534" t="s">
        <v>73</v>
      </c>
      <c r="E20" s="527" t="s">
        <v>14</v>
      </c>
      <c r="F20" s="528" t="str">
        <f>目录!E11</f>
        <v>4110-7</v>
      </c>
      <c r="G20" s="529"/>
      <c r="H20" s="529"/>
      <c r="I20" s="533" t="s">
        <v>52</v>
      </c>
      <c r="J20" s="529"/>
      <c r="K20" s="549"/>
    </row>
    <row r="21" s="499" customFormat="1" ht="38.25" spans="2:11">
      <c r="B21" s="530" t="s">
        <v>55</v>
      </c>
      <c r="C21" s="525">
        <v>9</v>
      </c>
      <c r="D21" s="534" t="s">
        <v>74</v>
      </c>
      <c r="E21" s="527" t="s">
        <v>14</v>
      </c>
      <c r="F21" s="535" t="s">
        <v>75</v>
      </c>
      <c r="G21" s="529"/>
      <c r="H21" s="529"/>
      <c r="I21" s="533" t="s">
        <v>52</v>
      </c>
      <c r="J21" s="529"/>
      <c r="K21" s="549"/>
    </row>
    <row r="22" s="498" customFormat="1" ht="63.75" spans="2:11">
      <c r="B22" s="530" t="s">
        <v>66</v>
      </c>
      <c r="C22" s="531">
        <v>10</v>
      </c>
      <c r="D22" s="534" t="s">
        <v>76</v>
      </c>
      <c r="E22" s="527" t="s">
        <v>14</v>
      </c>
      <c r="F22" s="528" t="str">
        <f>目录!E11</f>
        <v>4110-7</v>
      </c>
      <c r="G22" s="533" t="s">
        <v>52</v>
      </c>
      <c r="H22" s="533" t="s">
        <v>52</v>
      </c>
      <c r="I22" s="533" t="s">
        <v>52</v>
      </c>
      <c r="J22" s="529"/>
      <c r="K22" s="549"/>
    </row>
    <row r="23" s="498" customFormat="1" ht="25.5" spans="2:11">
      <c r="B23" s="530" t="s">
        <v>66</v>
      </c>
      <c r="C23" s="525">
        <v>11</v>
      </c>
      <c r="D23" s="534" t="s">
        <v>77</v>
      </c>
      <c r="E23" s="527" t="s">
        <v>14</v>
      </c>
      <c r="F23" s="528" t="str">
        <f>目录!E11</f>
        <v>4110-7</v>
      </c>
      <c r="G23" s="533" t="s">
        <v>52</v>
      </c>
      <c r="H23" s="533" t="s">
        <v>52</v>
      </c>
      <c r="I23" s="533" t="s">
        <v>52</v>
      </c>
      <c r="J23" s="529"/>
      <c r="K23" s="549"/>
    </row>
    <row r="24" s="498" customFormat="1" ht="38.25" spans="2:11">
      <c r="B24" s="530" t="s">
        <v>66</v>
      </c>
      <c r="C24" s="531">
        <v>12</v>
      </c>
      <c r="D24" s="534" t="s">
        <v>78</v>
      </c>
      <c r="E24" s="527" t="s">
        <v>14</v>
      </c>
      <c r="F24" s="528" t="str">
        <f>目录!E9</f>
        <v>4110-5</v>
      </c>
      <c r="G24" s="533" t="s">
        <v>52</v>
      </c>
      <c r="H24" s="533" t="s">
        <v>52</v>
      </c>
      <c r="I24" s="533" t="s">
        <v>52</v>
      </c>
      <c r="J24" s="529"/>
      <c r="K24" s="549"/>
    </row>
    <row r="25" s="498" customFormat="1" ht="140.25" spans="2:11">
      <c r="B25" s="530" t="s">
        <v>79</v>
      </c>
      <c r="C25" s="525">
        <v>13</v>
      </c>
      <c r="D25" s="534" t="s">
        <v>80</v>
      </c>
      <c r="E25" s="527" t="s">
        <v>14</v>
      </c>
      <c r="F25" s="528" t="str">
        <f>目录!E10</f>
        <v>4110-6</v>
      </c>
      <c r="G25" s="533"/>
      <c r="H25" s="533" t="s">
        <v>52</v>
      </c>
      <c r="I25" s="533"/>
      <c r="J25" s="533" t="s">
        <v>52</v>
      </c>
      <c r="K25" s="549"/>
    </row>
    <row r="26" s="498" customFormat="1" ht="25.5" spans="2:11">
      <c r="B26" s="530"/>
      <c r="C26" s="531">
        <v>14</v>
      </c>
      <c r="D26" s="534" t="s">
        <v>81</v>
      </c>
      <c r="E26" s="527"/>
      <c r="F26" s="536"/>
      <c r="G26" s="529"/>
      <c r="H26" s="529"/>
      <c r="I26" s="529"/>
      <c r="J26" s="529"/>
      <c r="K26" s="549"/>
    </row>
    <row r="27" s="498" customFormat="1" ht="26.25" spans="2:11">
      <c r="B27" s="537" t="s">
        <v>59</v>
      </c>
      <c r="C27" s="538">
        <v>15</v>
      </c>
      <c r="D27" s="539" t="s">
        <v>82</v>
      </c>
      <c r="E27" s="540" t="s">
        <v>14</v>
      </c>
      <c r="F27" s="541"/>
      <c r="G27" s="542"/>
      <c r="H27" s="542"/>
      <c r="I27" s="542"/>
      <c r="J27" s="542"/>
      <c r="K27" s="552" t="s">
        <v>52</v>
      </c>
    </row>
  </sheetData>
  <sheetProtection formatCells="0" insertHyperlinks="0" autoFilter="0"/>
  <mergeCells count="13">
    <mergeCell ref="G4:K4"/>
    <mergeCell ref="B6:C6"/>
    <mergeCell ref="D6:F6"/>
    <mergeCell ref="B7:C7"/>
    <mergeCell ref="D7:F7"/>
    <mergeCell ref="B8:C8"/>
    <mergeCell ref="D8:F8"/>
    <mergeCell ref="B9:C9"/>
    <mergeCell ref="D9:F9"/>
    <mergeCell ref="B10:C10"/>
    <mergeCell ref="D10:F10"/>
    <mergeCell ref="B11:F11"/>
    <mergeCell ref="B4:F5"/>
  </mergeCells>
  <dataValidations count="2">
    <dataValidation type="list" allowBlank="1" showInputMessage="1" showErrorMessage="1" sqref="E13:E27">
      <formula1>"是,否,不适用"</formula1>
    </dataValidation>
    <dataValidation type="list" allowBlank="1" showInputMessage="1" showErrorMessage="1" sqref="G6:K10 G13:K27">
      <formula1>"√"</formula1>
    </dataValidation>
  </dataValidations>
  <hyperlinks>
    <hyperlink ref="A1" location="'目录'!C4" display="&lt;&lt;"/>
  </hyperlinks>
  <printOptions horizontalCentered="1"/>
  <pageMargins left="0.590551181102362" right="0.196850393700787" top="0.984251968503937" bottom="0.984251968503937" header="0.511811023622047" footer="0.511811023622047"/>
  <pageSetup paperSize="9" scale="67" firstPageNumber="4294963191" orientation="portrait" blackAndWhite="1" useFirstPageNumber="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C50"/>
  <sheetViews>
    <sheetView showGridLines="0" workbookViewId="0">
      <pane ySplit="5" topLeftCell="A6" activePane="bottomLeft" state="frozen"/>
      <selection/>
      <selection pane="bottomLeft" activeCell="L11" sqref="L11"/>
    </sheetView>
  </sheetViews>
  <sheetFormatPr defaultColWidth="9" defaultRowHeight="15.75"/>
  <cols>
    <col min="1" max="1" width="2.7" style="445" customWidth="1"/>
    <col min="2" max="2" width="9" style="445"/>
    <col min="3" max="4" width="11.4" style="445" customWidth="1"/>
    <col min="5" max="7" width="13.2" style="445" customWidth="1"/>
    <col min="8" max="8" width="11.9" style="445" customWidth="1"/>
    <col min="9" max="9" width="12.5" style="445" customWidth="1"/>
    <col min="10" max="16384" width="9" style="445"/>
  </cols>
  <sheetData>
    <row r="1" s="232" customFormat="1" ht="28.5" customHeight="1" spans="1:14">
      <c r="A1" s="460" t="s">
        <v>40</v>
      </c>
      <c r="B1" s="177" t="s">
        <v>22</v>
      </c>
      <c r="C1" s="461"/>
      <c r="D1" s="461"/>
      <c r="E1" s="462"/>
      <c r="F1" s="462"/>
      <c r="G1" s="462"/>
      <c r="H1" s="461"/>
      <c r="I1" s="489" t="s">
        <v>42</v>
      </c>
      <c r="J1" s="100" t="str">
        <f>目录!E5</f>
        <v>4110-1</v>
      </c>
      <c r="L1" s="490"/>
      <c r="N1" s="491"/>
    </row>
    <row r="2" s="232" customFormat="1" ht="25.95" customHeight="1" spans="2:2">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row>
    <row r="3" s="232" customFormat="1" ht="12" customHeight="1"/>
    <row r="4" s="458" customFormat="1" ht="15" customHeight="1" spans="1:10">
      <c r="A4" s="463"/>
      <c r="B4" s="464" t="s">
        <v>83</v>
      </c>
      <c r="C4" s="465" t="s">
        <v>84</v>
      </c>
      <c r="D4" s="466" t="s">
        <v>85</v>
      </c>
      <c r="E4" s="466" t="s">
        <v>86</v>
      </c>
      <c r="F4" s="466" t="s">
        <v>87</v>
      </c>
      <c r="G4" s="467" t="s">
        <v>88</v>
      </c>
      <c r="H4" s="466" t="s">
        <v>89</v>
      </c>
      <c r="I4" s="466"/>
      <c r="J4" s="492" t="s">
        <v>90</v>
      </c>
    </row>
    <row r="5" s="458" customFormat="1" ht="15" customHeight="1" spans="1:10">
      <c r="A5" s="463"/>
      <c r="B5" s="468"/>
      <c r="C5" s="469"/>
      <c r="D5" s="470"/>
      <c r="E5" s="470"/>
      <c r="F5" s="470"/>
      <c r="G5" s="471"/>
      <c r="H5" s="470" t="s">
        <v>91</v>
      </c>
      <c r="I5" s="470" t="s">
        <v>92</v>
      </c>
      <c r="J5" s="493"/>
    </row>
    <row r="6" s="458" customFormat="1" ht="15" customHeight="1" spans="1:10">
      <c r="A6" s="463"/>
      <c r="B6" s="472" t="s">
        <v>93</v>
      </c>
      <c r="C6" s="473"/>
      <c r="D6" s="474">
        <f>IF(ROUND((H6-I6),2)&lt;&gt;0,"调整分录不平",ROUND((H6-I6),2))</f>
        <v>0</v>
      </c>
      <c r="E6" s="475"/>
      <c r="F6" s="476"/>
      <c r="G6" s="473"/>
      <c r="H6" s="477">
        <f>SUM(H7:H50)</f>
        <v>0</v>
      </c>
      <c r="I6" s="477">
        <f>SUM(I7:I50)</f>
        <v>0</v>
      </c>
      <c r="J6" s="494"/>
    </row>
    <row r="7" s="459" customFormat="1" ht="15" customHeight="1" spans="1:10">
      <c r="A7" s="478"/>
      <c r="B7" s="479"/>
      <c r="C7" s="480"/>
      <c r="D7" s="481"/>
      <c r="E7" s="482"/>
      <c r="F7" s="482"/>
      <c r="G7" s="480"/>
      <c r="H7" s="483"/>
      <c r="I7" s="483"/>
      <c r="J7" s="495"/>
    </row>
    <row r="8" s="459" customFormat="1" ht="15" customHeight="1" spans="1:29">
      <c r="A8" s="478"/>
      <c r="B8" s="479"/>
      <c r="C8" s="480"/>
      <c r="D8" s="481"/>
      <c r="E8" s="482"/>
      <c r="F8" s="482"/>
      <c r="G8" s="480"/>
      <c r="H8" s="483"/>
      <c r="I8" s="483"/>
      <c r="J8" s="495"/>
      <c r="Y8" s="459" t="s">
        <v>94</v>
      </c>
      <c r="AC8" s="459" t="s">
        <v>94</v>
      </c>
    </row>
    <row r="9" s="459" customFormat="1" ht="15" customHeight="1" spans="1:10">
      <c r="A9" s="478"/>
      <c r="B9" s="479"/>
      <c r="C9" s="480"/>
      <c r="D9" s="481"/>
      <c r="E9" s="482"/>
      <c r="F9" s="482"/>
      <c r="G9" s="480"/>
      <c r="H9" s="483"/>
      <c r="I9" s="483"/>
      <c r="J9" s="495"/>
    </row>
    <row r="10" s="459" customFormat="1" ht="15" customHeight="1" spans="1:10">
      <c r="A10" s="478"/>
      <c r="B10" s="479"/>
      <c r="C10" s="480"/>
      <c r="D10" s="481"/>
      <c r="E10" s="482"/>
      <c r="F10" s="482"/>
      <c r="G10" s="480"/>
      <c r="H10" s="483"/>
      <c r="I10" s="483"/>
      <c r="J10" s="495"/>
    </row>
    <row r="11" s="459" customFormat="1" ht="15" customHeight="1" spans="1:10">
      <c r="A11" s="478"/>
      <c r="B11" s="479"/>
      <c r="C11" s="480"/>
      <c r="D11" s="482"/>
      <c r="E11" s="482"/>
      <c r="F11" s="482"/>
      <c r="G11" s="480"/>
      <c r="H11" s="483"/>
      <c r="I11" s="483"/>
      <c r="J11" s="495"/>
    </row>
    <row r="12" s="459" customFormat="1" ht="15" customHeight="1" spans="1:10">
      <c r="A12" s="478"/>
      <c r="B12" s="479"/>
      <c r="C12" s="480"/>
      <c r="D12" s="482"/>
      <c r="E12" s="482"/>
      <c r="F12" s="482"/>
      <c r="G12" s="480"/>
      <c r="H12" s="483"/>
      <c r="I12" s="483"/>
      <c r="J12" s="495"/>
    </row>
    <row r="13" s="459" customFormat="1" ht="15" customHeight="1" spans="1:10">
      <c r="A13" s="478"/>
      <c r="B13" s="479"/>
      <c r="C13" s="480"/>
      <c r="D13" s="482"/>
      <c r="E13" s="482"/>
      <c r="F13" s="482"/>
      <c r="G13" s="480"/>
      <c r="H13" s="483"/>
      <c r="I13" s="483"/>
      <c r="J13" s="495"/>
    </row>
    <row r="14" s="459" customFormat="1" ht="15" customHeight="1" spans="1:10">
      <c r="A14" s="478"/>
      <c r="B14" s="479"/>
      <c r="C14" s="480"/>
      <c r="D14" s="482"/>
      <c r="E14" s="482"/>
      <c r="F14" s="482"/>
      <c r="G14" s="480"/>
      <c r="H14" s="483"/>
      <c r="I14" s="483"/>
      <c r="J14" s="495"/>
    </row>
    <row r="15" s="459" customFormat="1" ht="15" customHeight="1" spans="1:10">
      <c r="A15" s="478"/>
      <c r="B15" s="479"/>
      <c r="C15" s="480"/>
      <c r="D15" s="482"/>
      <c r="E15" s="482"/>
      <c r="F15" s="482"/>
      <c r="G15" s="480"/>
      <c r="H15" s="483"/>
      <c r="I15" s="483"/>
      <c r="J15" s="495"/>
    </row>
    <row r="16" s="459" customFormat="1" ht="15" customHeight="1" spans="1:10">
      <c r="A16" s="478"/>
      <c r="B16" s="479"/>
      <c r="C16" s="480"/>
      <c r="D16" s="482"/>
      <c r="E16" s="482"/>
      <c r="F16" s="482"/>
      <c r="G16" s="480"/>
      <c r="H16" s="483"/>
      <c r="I16" s="483"/>
      <c r="J16" s="495"/>
    </row>
    <row r="17" s="459" customFormat="1" ht="15" customHeight="1" spans="1:10">
      <c r="A17" s="478"/>
      <c r="B17" s="479"/>
      <c r="C17" s="480"/>
      <c r="D17" s="482"/>
      <c r="E17" s="482"/>
      <c r="F17" s="482"/>
      <c r="G17" s="480"/>
      <c r="H17" s="483"/>
      <c r="I17" s="483"/>
      <c r="J17" s="495"/>
    </row>
    <row r="18" s="459" customFormat="1" ht="15" customHeight="1" spans="1:10">
      <c r="A18" s="478"/>
      <c r="B18" s="479"/>
      <c r="C18" s="480"/>
      <c r="D18" s="482"/>
      <c r="E18" s="482"/>
      <c r="F18" s="482"/>
      <c r="G18" s="480"/>
      <c r="H18" s="483"/>
      <c r="I18" s="483"/>
      <c r="J18" s="495"/>
    </row>
    <row r="19" s="459" customFormat="1" ht="15" customHeight="1" spans="1:10">
      <c r="A19" s="478"/>
      <c r="B19" s="479"/>
      <c r="C19" s="480"/>
      <c r="D19" s="482"/>
      <c r="E19" s="482"/>
      <c r="F19" s="482"/>
      <c r="G19" s="480"/>
      <c r="H19" s="483"/>
      <c r="I19" s="483"/>
      <c r="J19" s="495"/>
    </row>
    <row r="20" s="459" customFormat="1" ht="15" customHeight="1" spans="1:10">
      <c r="A20" s="478"/>
      <c r="B20" s="479"/>
      <c r="C20" s="480"/>
      <c r="D20" s="482"/>
      <c r="E20" s="482"/>
      <c r="F20" s="482"/>
      <c r="G20" s="480"/>
      <c r="H20" s="483"/>
      <c r="I20" s="483"/>
      <c r="J20" s="495"/>
    </row>
    <row r="21" s="459" customFormat="1" ht="15" customHeight="1" spans="1:10">
      <c r="A21" s="478"/>
      <c r="B21" s="479"/>
      <c r="C21" s="480"/>
      <c r="D21" s="482"/>
      <c r="E21" s="482"/>
      <c r="F21" s="482"/>
      <c r="G21" s="480"/>
      <c r="H21" s="483"/>
      <c r="I21" s="483"/>
      <c r="J21" s="495"/>
    </row>
    <row r="22" s="459" customFormat="1" ht="15" customHeight="1" spans="1:10">
      <c r="A22" s="478"/>
      <c r="B22" s="479"/>
      <c r="C22" s="480"/>
      <c r="D22" s="482"/>
      <c r="E22" s="482"/>
      <c r="F22" s="482"/>
      <c r="G22" s="480"/>
      <c r="H22" s="483"/>
      <c r="I22" s="483"/>
      <c r="J22" s="495"/>
    </row>
    <row r="23" s="459" customFormat="1" ht="15" customHeight="1" spans="1:10">
      <c r="A23" s="478"/>
      <c r="B23" s="479"/>
      <c r="C23" s="480"/>
      <c r="D23" s="482"/>
      <c r="E23" s="482"/>
      <c r="F23" s="482"/>
      <c r="G23" s="480"/>
      <c r="H23" s="483"/>
      <c r="I23" s="483"/>
      <c r="J23" s="495"/>
    </row>
    <row r="24" s="459" customFormat="1" ht="15" customHeight="1" spans="1:10">
      <c r="A24" s="478"/>
      <c r="B24" s="479"/>
      <c r="C24" s="480"/>
      <c r="D24" s="482"/>
      <c r="E24" s="482"/>
      <c r="F24" s="482"/>
      <c r="G24" s="480"/>
      <c r="H24" s="483"/>
      <c r="I24" s="483"/>
      <c r="J24" s="495"/>
    </row>
    <row r="25" s="459" customFormat="1" ht="15" customHeight="1" spans="1:10">
      <c r="A25" s="478"/>
      <c r="B25" s="479"/>
      <c r="C25" s="480"/>
      <c r="D25" s="482"/>
      <c r="E25" s="482"/>
      <c r="F25" s="482"/>
      <c r="G25" s="480"/>
      <c r="H25" s="483"/>
      <c r="I25" s="483"/>
      <c r="J25" s="495"/>
    </row>
    <row r="26" s="459" customFormat="1" ht="15" customHeight="1" spans="1:10">
      <c r="A26" s="478"/>
      <c r="B26" s="479"/>
      <c r="C26" s="480"/>
      <c r="D26" s="482"/>
      <c r="E26" s="482"/>
      <c r="F26" s="482"/>
      <c r="G26" s="480"/>
      <c r="H26" s="483"/>
      <c r="I26" s="483"/>
      <c r="J26" s="495"/>
    </row>
    <row r="27" s="459" customFormat="1" ht="15" customHeight="1" spans="1:10">
      <c r="A27" s="478"/>
      <c r="B27" s="479"/>
      <c r="C27" s="480"/>
      <c r="D27" s="482"/>
      <c r="E27" s="482"/>
      <c r="F27" s="482"/>
      <c r="G27" s="480"/>
      <c r="H27" s="483"/>
      <c r="I27" s="483"/>
      <c r="J27" s="495"/>
    </row>
    <row r="28" s="459" customFormat="1" ht="15" customHeight="1" spans="1:10">
      <c r="A28" s="478"/>
      <c r="B28" s="479"/>
      <c r="C28" s="480"/>
      <c r="D28" s="482"/>
      <c r="E28" s="482"/>
      <c r="F28" s="482"/>
      <c r="G28" s="480"/>
      <c r="H28" s="483"/>
      <c r="I28" s="483"/>
      <c r="J28" s="495"/>
    </row>
    <row r="29" s="459" customFormat="1" ht="15" customHeight="1" spans="1:10">
      <c r="A29" s="478"/>
      <c r="B29" s="479"/>
      <c r="C29" s="480"/>
      <c r="D29" s="482"/>
      <c r="E29" s="482"/>
      <c r="F29" s="482"/>
      <c r="G29" s="480"/>
      <c r="H29" s="483"/>
      <c r="I29" s="483"/>
      <c r="J29" s="495"/>
    </row>
    <row r="30" s="459" customFormat="1" ht="15" customHeight="1" spans="1:10">
      <c r="A30" s="478"/>
      <c r="B30" s="479"/>
      <c r="C30" s="480"/>
      <c r="D30" s="482"/>
      <c r="E30" s="482"/>
      <c r="F30" s="482"/>
      <c r="G30" s="480"/>
      <c r="H30" s="483"/>
      <c r="I30" s="483"/>
      <c r="J30" s="495"/>
    </row>
    <row r="31" s="459" customFormat="1" ht="15" customHeight="1" spans="1:10">
      <c r="A31" s="478"/>
      <c r="B31" s="479"/>
      <c r="C31" s="480"/>
      <c r="D31" s="482"/>
      <c r="E31" s="482"/>
      <c r="F31" s="482"/>
      <c r="G31" s="480"/>
      <c r="H31" s="483"/>
      <c r="I31" s="483"/>
      <c r="J31" s="495"/>
    </row>
    <row r="32" s="459" customFormat="1" ht="15" customHeight="1" spans="1:10">
      <c r="A32" s="478"/>
      <c r="B32" s="479"/>
      <c r="C32" s="480"/>
      <c r="D32" s="482"/>
      <c r="E32" s="482"/>
      <c r="F32" s="482"/>
      <c r="G32" s="480"/>
      <c r="H32" s="483"/>
      <c r="I32" s="483"/>
      <c r="J32" s="495"/>
    </row>
    <row r="33" s="459" customFormat="1" ht="15" customHeight="1" spans="1:10">
      <c r="A33" s="478"/>
      <c r="B33" s="479"/>
      <c r="C33" s="480"/>
      <c r="D33" s="482"/>
      <c r="E33" s="482"/>
      <c r="F33" s="482"/>
      <c r="G33" s="480"/>
      <c r="H33" s="483"/>
      <c r="I33" s="483"/>
      <c r="J33" s="495"/>
    </row>
    <row r="34" s="459" customFormat="1" ht="15" customHeight="1" spans="1:10">
      <c r="A34" s="478"/>
      <c r="B34" s="479"/>
      <c r="C34" s="480"/>
      <c r="D34" s="482"/>
      <c r="E34" s="482"/>
      <c r="F34" s="482"/>
      <c r="G34" s="480"/>
      <c r="H34" s="483"/>
      <c r="I34" s="483"/>
      <c r="J34" s="495"/>
    </row>
    <row r="35" s="459" customFormat="1" ht="15" customHeight="1" spans="1:10">
      <c r="A35" s="478"/>
      <c r="B35" s="479"/>
      <c r="C35" s="480"/>
      <c r="D35" s="482"/>
      <c r="E35" s="482"/>
      <c r="F35" s="482"/>
      <c r="G35" s="480"/>
      <c r="H35" s="483"/>
      <c r="I35" s="483"/>
      <c r="J35" s="495"/>
    </row>
    <row r="36" s="459" customFormat="1" ht="15" customHeight="1" spans="1:10">
      <c r="A36" s="478"/>
      <c r="B36" s="479"/>
      <c r="C36" s="480"/>
      <c r="D36" s="482"/>
      <c r="E36" s="482"/>
      <c r="F36" s="482"/>
      <c r="G36" s="480"/>
      <c r="H36" s="483"/>
      <c r="I36" s="483"/>
      <c r="J36" s="495"/>
    </row>
    <row r="37" s="459" customFormat="1" ht="15" customHeight="1" spans="1:10">
      <c r="A37" s="478"/>
      <c r="B37" s="479"/>
      <c r="C37" s="480"/>
      <c r="D37" s="482"/>
      <c r="E37" s="482"/>
      <c r="F37" s="482"/>
      <c r="G37" s="480"/>
      <c r="H37" s="483"/>
      <c r="I37" s="483"/>
      <c r="J37" s="495"/>
    </row>
    <row r="38" s="459" customFormat="1" ht="15" customHeight="1" spans="1:10">
      <c r="A38" s="478"/>
      <c r="B38" s="479"/>
      <c r="C38" s="480"/>
      <c r="D38" s="482"/>
      <c r="E38" s="482"/>
      <c r="F38" s="482"/>
      <c r="G38" s="480"/>
      <c r="H38" s="483"/>
      <c r="I38" s="483"/>
      <c r="J38" s="495"/>
    </row>
    <row r="39" s="459" customFormat="1" ht="15" customHeight="1" spans="1:10">
      <c r="A39" s="478"/>
      <c r="B39" s="479"/>
      <c r="C39" s="480"/>
      <c r="D39" s="482"/>
      <c r="E39" s="482"/>
      <c r="F39" s="482"/>
      <c r="G39" s="480"/>
      <c r="H39" s="483"/>
      <c r="I39" s="483"/>
      <c r="J39" s="495"/>
    </row>
    <row r="40" s="459" customFormat="1" ht="15" customHeight="1" spans="1:10">
      <c r="A40" s="478"/>
      <c r="B40" s="479"/>
      <c r="C40" s="480"/>
      <c r="D40" s="482"/>
      <c r="E40" s="482"/>
      <c r="F40" s="482"/>
      <c r="G40" s="480"/>
      <c r="H40" s="483"/>
      <c r="I40" s="483"/>
      <c r="J40" s="495"/>
    </row>
    <row r="41" s="459" customFormat="1" ht="15" customHeight="1" spans="1:10">
      <c r="A41" s="478"/>
      <c r="B41" s="479"/>
      <c r="C41" s="480"/>
      <c r="D41" s="482"/>
      <c r="E41" s="482"/>
      <c r="F41" s="482"/>
      <c r="G41" s="480"/>
      <c r="H41" s="483"/>
      <c r="I41" s="483"/>
      <c r="J41" s="495"/>
    </row>
    <row r="42" s="459" customFormat="1" ht="15" customHeight="1" spans="1:10">
      <c r="A42" s="478"/>
      <c r="B42" s="479"/>
      <c r="C42" s="480"/>
      <c r="D42" s="482"/>
      <c r="E42" s="482"/>
      <c r="F42" s="482"/>
      <c r="G42" s="480"/>
      <c r="H42" s="483"/>
      <c r="I42" s="483"/>
      <c r="J42" s="495"/>
    </row>
    <row r="43" s="459" customFormat="1" ht="15" customHeight="1" spans="1:10">
      <c r="A43" s="478"/>
      <c r="B43" s="479"/>
      <c r="C43" s="480"/>
      <c r="D43" s="482"/>
      <c r="E43" s="482"/>
      <c r="F43" s="482"/>
      <c r="G43" s="480"/>
      <c r="H43" s="483"/>
      <c r="I43" s="483"/>
      <c r="J43" s="495"/>
    </row>
    <row r="44" s="459" customFormat="1" ht="15" customHeight="1" spans="1:10">
      <c r="A44" s="478"/>
      <c r="B44" s="479"/>
      <c r="C44" s="480"/>
      <c r="D44" s="482"/>
      <c r="E44" s="482"/>
      <c r="F44" s="482"/>
      <c r="G44" s="480"/>
      <c r="H44" s="483"/>
      <c r="I44" s="483"/>
      <c r="J44" s="495"/>
    </row>
    <row r="45" s="459" customFormat="1" ht="15" customHeight="1" spans="1:10">
      <c r="A45" s="478"/>
      <c r="B45" s="479"/>
      <c r="C45" s="480"/>
      <c r="D45" s="482"/>
      <c r="E45" s="482"/>
      <c r="F45" s="482"/>
      <c r="G45" s="480"/>
      <c r="H45" s="483"/>
      <c r="I45" s="483"/>
      <c r="J45" s="495"/>
    </row>
    <row r="46" s="459" customFormat="1" ht="15" customHeight="1" spans="1:10">
      <c r="A46" s="478"/>
      <c r="B46" s="479"/>
      <c r="C46" s="480"/>
      <c r="D46" s="482"/>
      <c r="E46" s="482"/>
      <c r="F46" s="482"/>
      <c r="G46" s="480"/>
      <c r="H46" s="483"/>
      <c r="I46" s="483"/>
      <c r="J46" s="495"/>
    </row>
    <row r="47" s="459" customFormat="1" ht="15" customHeight="1" spans="1:10">
      <c r="A47" s="478"/>
      <c r="B47" s="479"/>
      <c r="C47" s="480"/>
      <c r="D47" s="482"/>
      <c r="E47" s="482"/>
      <c r="F47" s="482"/>
      <c r="G47" s="480"/>
      <c r="H47" s="483"/>
      <c r="I47" s="483"/>
      <c r="J47" s="495"/>
    </row>
    <row r="48" s="459" customFormat="1" ht="15" customHeight="1" spans="1:10">
      <c r="A48" s="478"/>
      <c r="B48" s="479"/>
      <c r="C48" s="480"/>
      <c r="D48" s="482"/>
      <c r="E48" s="482"/>
      <c r="F48" s="482"/>
      <c r="G48" s="480"/>
      <c r="H48" s="483"/>
      <c r="I48" s="483"/>
      <c r="J48" s="495"/>
    </row>
    <row r="49" s="459" customFormat="1" ht="15" customHeight="1" spans="1:10">
      <c r="A49" s="478"/>
      <c r="B49" s="479"/>
      <c r="C49" s="480"/>
      <c r="D49" s="482"/>
      <c r="E49" s="482"/>
      <c r="F49" s="482"/>
      <c r="G49" s="480"/>
      <c r="H49" s="483"/>
      <c r="I49" s="483"/>
      <c r="J49" s="495"/>
    </row>
    <row r="50" s="459" customFormat="1" ht="15" customHeight="1" spans="1:10">
      <c r="A50" s="484"/>
      <c r="B50" s="485"/>
      <c r="C50" s="486"/>
      <c r="D50" s="487"/>
      <c r="E50" s="487"/>
      <c r="F50" s="487"/>
      <c r="G50" s="486"/>
      <c r="H50" s="488"/>
      <c r="I50" s="488"/>
      <c r="J50" s="496"/>
    </row>
  </sheetData>
  <mergeCells count="9">
    <mergeCell ref="H4:I4"/>
    <mergeCell ref="D6:F6"/>
    <mergeCell ref="B4:B5"/>
    <mergeCell ref="C4:C5"/>
    <mergeCell ref="D4:D5"/>
    <mergeCell ref="E4:E5"/>
    <mergeCell ref="F4:F5"/>
    <mergeCell ref="G4:G5"/>
    <mergeCell ref="J4:J5"/>
  </mergeCells>
  <dataValidations count="8">
    <dataValidation allowBlank="1" showErrorMessage="1" errorTitle="注意" error="你必须在下拉框中选择一级科目，自己输入的科目无效！" promptTitle="fgfg" prompt="fdfg" sqref="D6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dataValidation allowBlank="1" showInputMessage="1" showErrorMessage="1" prompt="借方合计数" sqref="H6:I6 JD6 SZ6 ACV6 AMR6 AWN6 BGJ6 BQF6 CAB6 CJX6 CTT6 DDP6 DNL6 DXH6 EHD6 EQZ6 FAV6 FKR6 FUN6 GEJ6 GOF6 GYB6 HHX6 HRT6 IBP6 ILL6 IVH6 JFD6 JOZ6 JYV6 KIR6 KSN6 LCJ6 LMF6 LWB6 MFX6 MPT6 MZP6 NJL6 NTH6 ODD6 OMZ6 OWV6 PGR6 PQN6 QAJ6 QKF6 QUB6 RDX6 RNT6 RXP6 SHL6 SRH6 TBD6 TKZ6 TUV6 UER6 UON6 UYJ6 VIF6 VSB6 WBX6 WLT6 WVP6"/>
    <dataValidation allowBlank="1" showInputMessage="1" showErrorMessage="1" prompt="贷方合计数" sqref="JE6 TA6 ACW6 AMS6 AWO6 BGK6 BQG6 CAC6 CJY6 CTU6 DDQ6 DNM6 DXI6 EHE6 ERA6 FAW6 FKS6 FUO6 GEK6 GOG6 GYC6 HHY6 HRU6 IBQ6 ILM6 IVI6 JFE6 JPA6 JYW6 KIS6 KSO6 LCK6 LMG6 LWC6 MFY6 MPU6 MZQ6 NJM6 NTI6 ODE6 ONA6 OWW6 PGS6 PQO6 QAK6 QKG6 QUC6 RDY6 RNU6 RXQ6 SHM6 SRI6 TBE6 TLA6 TUW6 UES6 UOO6 UYK6 VIG6 VSC6 WBY6 WLU6 WVQ6"/>
    <dataValidation type="list" allowBlank="1" showInputMessage="1" showErrorMessage="1" sqref="D7:D50">
      <formula1>科目表</formula1>
    </dataValidation>
    <dataValidation type="list" allowBlank="1" showInputMessage="1" showErrorMessage="1" sqref="E7:E50">
      <formula1>二级科目</formula1>
    </dataValidation>
    <dataValidation type="list" allowBlank="1" showInputMessage="1" showErrorMessage="1" sqref="F7:F50">
      <formula1>三级科目</formula1>
    </dataValidation>
    <dataValidation allowBlank="1" showErrorMessage="1" errorTitle="注意" error="你必须在下拉框内选择，自己输入的借贷标识无效！" sqref="IZ6:IZ50 SV6:SV50 ACR6:ACR50 AMN6:AMN50 AWJ6:AWJ50 BGF6:BGF50 BQB6:BQB50 BZX6:BZX50 CJT6:CJT50 CTP6:CTP50 DDL6:DDL50 DNH6:DNH50 DXD6:DXD50 EGZ6:EGZ50 EQV6:EQV50 FAR6:FAR50 FKN6:FKN50 FUJ6:FUJ50 GEF6:GEF50 GOB6:GOB50 GXX6:GXX50 HHT6:HHT50 HRP6:HRP50 IBL6:IBL50 ILH6:ILH50 IVD6:IVD50 JEZ6:JEZ50 JOV6:JOV50 JYR6:JYR50 KIN6:KIN50 KSJ6:KSJ50 LCF6:LCF50 LMB6:LMB50 LVX6:LVX50 MFT6:MFT50 MPP6:MPP50 MZL6:MZL50 NJH6:NJH50 NTD6:NTD50 OCZ6:OCZ50 OMV6:OMV50 OWR6:OWR50 PGN6:PGN50 PQJ6:PQJ50 QAF6:QAF50 QKB6:QKB50 QTX6:QTX50 RDT6:RDT50 RNP6:RNP50 RXL6:RXL50 SHH6:SHH50 SRD6:SRD50 TAZ6:TAZ50 TKV6:TKV50 TUR6:TUR50 UEN6:UEN50 UOJ6:UOJ50 UYF6:UYF50 VIB6:VIB50 VRX6:VRX50 WBT6:WBT50 WLP6:WLP50 WVL6:WVL50"/>
    <dataValidation type="list" allowBlank="1" showInputMessage="1" showErrorMessage="1" sqref="JF7:JF50 TB7:TB50 ACX7:ACX50 AMT7:AMT50 AWP7:AWP50 BGL7:BGL50 BQH7:BQH50 CAD7:CAD50 CJZ7:CJZ50 CTV7:CTV50 DDR7:DDR50 DNN7:DNN50 DXJ7:DXJ50 EHF7:EHF50 ERB7:ERB50 FAX7:FAX50 FKT7:FKT50 FUP7:FUP50 GEL7:GEL50 GOH7:GOH50 GYD7:GYD50 HHZ7:HHZ50 HRV7:HRV50 IBR7:IBR50 ILN7:ILN50 IVJ7:IVJ50 JFF7:JFF50 JPB7:JPB50 JYX7:JYX50 KIT7:KIT50 KSP7:KSP50 LCL7:LCL50 LMH7:LMH50 LWD7:LWD50 MFZ7:MFZ50 MPV7:MPV50 MZR7:MZR50 NJN7:NJN50 NTJ7:NTJ50 ODF7:ODF50 ONB7:ONB50 OWX7:OWX50 PGT7:PGT50 PQP7:PQP50 QAL7:QAL50 QKH7:QKH50 QUD7:QUD50 RDZ7:RDZ50 RNV7:RNV50 RXR7:RXR50 SHN7:SHN50 SRJ7:SRJ50 TBF7:TBF50 TLB7:TLB50 TUX7:TUX50 UET7:UET50 UOP7:UOP50 UYL7:UYL50 VIH7:VIH50 VSD7:VSD50 WBZ7:WBZ50 WLV7:WLV50 WVR7:WVR50">
      <formula1>"Y,N"</formula1>
    </dataValidation>
  </dataValidations>
  <hyperlinks>
    <hyperlink ref="A1" location="'目录'!C5" display="&lt;&lt;"/>
  </hyperlinks>
  <pageMargins left="0.7" right="0.7" top="0.75" bottom="0.75" header="0.3" footer="0.3"/>
  <pageSetup paperSize="9" scale="88" orientation="portrait" blackAndWhite="1"/>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J46"/>
  <sheetViews>
    <sheetView showGridLines="0" showZeros="0" workbookViewId="0">
      <pane ySplit="4" topLeftCell="A5" activePane="bottomLeft" state="frozen"/>
      <selection/>
      <selection pane="bottomLeft" activeCell="D15" sqref="D15"/>
    </sheetView>
  </sheetViews>
  <sheetFormatPr defaultColWidth="9" defaultRowHeight="12.75"/>
  <cols>
    <col min="1" max="1" width="2.7" style="423" customWidth="1"/>
    <col min="2" max="2" width="17.2" style="423" customWidth="1"/>
    <col min="3" max="6" width="14.9" style="424" customWidth="1"/>
    <col min="7" max="7" width="15.6" style="424" customWidth="1"/>
    <col min="8" max="8" width="18.4" style="423" customWidth="1"/>
    <col min="9" max="16384" width="9" style="423"/>
  </cols>
  <sheetData>
    <row r="1" s="116" customFormat="1" ht="28.5" customHeight="1" spans="1:10">
      <c r="A1" s="119" t="s">
        <v>40</v>
      </c>
      <c r="B1" s="177" t="s">
        <v>29</v>
      </c>
      <c r="C1" s="121"/>
      <c r="D1" s="121"/>
      <c r="E1" s="121"/>
      <c r="G1" s="122" t="s">
        <v>42</v>
      </c>
      <c r="H1" s="100" t="str">
        <f>目录!E6</f>
        <v>4110-2</v>
      </c>
      <c r="J1" s="101"/>
    </row>
    <row r="2" s="421" customFormat="1" ht="25.95" customHeight="1" spans="2:8">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G2" s="122"/>
      <c r="H2" s="425"/>
    </row>
    <row r="3" s="421" customFormat="1" ht="12" customHeight="1" spans="2:8">
      <c r="B3" s="124"/>
      <c r="C3" s="426"/>
      <c r="D3" s="426"/>
      <c r="E3" s="426"/>
      <c r="F3" s="126"/>
      <c r="G3" s="126"/>
      <c r="H3" s="124"/>
    </row>
    <row r="4" s="396" customFormat="1" ht="17.25" customHeight="1" spans="2:9">
      <c r="B4" s="427" t="s">
        <v>95</v>
      </c>
      <c r="C4" s="428" t="s">
        <v>96</v>
      </c>
      <c r="D4" s="428" t="s">
        <v>97</v>
      </c>
      <c r="E4" s="428" t="s">
        <v>98</v>
      </c>
      <c r="F4" s="428" t="s">
        <v>99</v>
      </c>
      <c r="G4" s="428" t="s">
        <v>100</v>
      </c>
      <c r="H4" s="429" t="s">
        <v>101</v>
      </c>
      <c r="I4" s="457"/>
    </row>
    <row r="5" s="396" customFormat="1" ht="17.25" customHeight="1" spans="2:8">
      <c r="B5" s="430" t="s">
        <v>102</v>
      </c>
      <c r="C5" s="431">
        <f>'4110-3'!R5</f>
        <v>1904775.22</v>
      </c>
      <c r="D5" s="431">
        <f>SUMIF('4110-1'!D7:D50,B5,'4110-1'!H7:H50)-SUMIF('4110-1'!D7:D50,B5,'4110-1'!I7:I50)</f>
        <v>0</v>
      </c>
      <c r="E5" s="431">
        <f>C5+D5</f>
        <v>1904775.22</v>
      </c>
      <c r="F5" s="432">
        <f>'4110-3'!M134</f>
        <v>2095612.66</v>
      </c>
      <c r="G5" s="431">
        <f>E5-F5</f>
        <v>-190837.44</v>
      </c>
      <c r="H5" s="433">
        <f>IFERROR(IF(F5&lt;0,"不适用",G5/F5),"")</f>
        <v>-0.0910652257655286</v>
      </c>
    </row>
    <row r="6" s="396" customFormat="1" ht="17.25" customHeight="1" spans="2:8">
      <c r="B6" s="434"/>
      <c r="C6" s="435"/>
      <c r="D6" s="436">
        <f>D5-'4110-3'!S5</f>
        <v>0</v>
      </c>
      <c r="E6" s="436">
        <f>E5-'4110-3'!T5</f>
        <v>0</v>
      </c>
      <c r="F6" s="435"/>
      <c r="G6" s="435"/>
      <c r="H6" s="437"/>
    </row>
    <row r="7" ht="17.25" customHeight="1" spans="2:8">
      <c r="B7" s="438" t="s">
        <v>103</v>
      </c>
      <c r="C7" s="439"/>
      <c r="D7" s="439"/>
      <c r="E7" s="439"/>
      <c r="F7" s="439"/>
      <c r="G7" s="439"/>
      <c r="H7" s="440"/>
    </row>
    <row r="8" ht="17.25" customHeight="1" spans="2:8">
      <c r="B8" s="441" t="s">
        <v>104</v>
      </c>
      <c r="C8" s="442"/>
      <c r="D8" s="442"/>
      <c r="E8" s="442"/>
      <c r="F8" s="442"/>
      <c r="G8" s="442"/>
      <c r="H8" s="443"/>
    </row>
    <row r="9" ht="17.25" customHeight="1" spans="2:8">
      <c r="B9" s="444" t="s">
        <v>105</v>
      </c>
      <c r="C9" s="445"/>
      <c r="D9" s="445"/>
      <c r="E9" s="445"/>
      <c r="F9" s="445"/>
      <c r="G9" s="445"/>
      <c r="H9" s="446"/>
    </row>
    <row r="10" ht="17.25" customHeight="1" spans="2:8">
      <c r="B10" s="444" t="s">
        <v>106</v>
      </c>
      <c r="C10" s="445"/>
      <c r="D10" s="445"/>
      <c r="E10" s="445"/>
      <c r="F10" s="445"/>
      <c r="G10" s="445"/>
      <c r="H10" s="446"/>
    </row>
    <row r="11" ht="17.25" customHeight="1" spans="2:8">
      <c r="B11" s="444" t="s">
        <v>107</v>
      </c>
      <c r="C11" s="445"/>
      <c r="D11" s="445"/>
      <c r="E11" s="445"/>
      <c r="F11" s="445"/>
      <c r="G11" s="445"/>
      <c r="H11" s="446"/>
    </row>
    <row r="12" ht="17.25" customHeight="1" spans="2:8">
      <c r="B12" s="444" t="s">
        <v>108</v>
      </c>
      <c r="C12" s="445"/>
      <c r="D12" s="445"/>
      <c r="E12" s="445"/>
      <c r="F12" s="445"/>
      <c r="G12" s="445"/>
      <c r="H12" s="446"/>
    </row>
    <row r="13" ht="17.25" customHeight="1" spans="2:8">
      <c r="B13" s="444" t="s">
        <v>109</v>
      </c>
      <c r="C13" s="445"/>
      <c r="D13" s="445"/>
      <c r="E13" s="445"/>
      <c r="F13" s="445"/>
      <c r="G13" s="445"/>
      <c r="H13" s="446"/>
    </row>
    <row r="14" ht="17.25" customHeight="1" spans="2:8">
      <c r="B14" s="444"/>
      <c r="C14" s="445"/>
      <c r="D14" s="445"/>
      <c r="E14" s="445"/>
      <c r="F14" s="445"/>
      <c r="G14" s="445"/>
      <c r="H14" s="446"/>
    </row>
    <row r="15" ht="17.25" customHeight="1" spans="2:8">
      <c r="B15" s="447"/>
      <c r="C15" s="448"/>
      <c r="D15" s="448"/>
      <c r="E15" s="448"/>
      <c r="F15" s="448"/>
      <c r="G15" s="448"/>
      <c r="H15" s="448"/>
    </row>
    <row r="16" spans="2:7">
      <c r="B16" s="449" t="s">
        <v>110</v>
      </c>
      <c r="C16" s="450" t="s">
        <v>111</v>
      </c>
      <c r="D16" s="451"/>
      <c r="E16" s="451"/>
      <c r="F16" s="451"/>
      <c r="G16" s="451"/>
    </row>
    <row r="17" spans="2:9">
      <c r="B17" s="451"/>
      <c r="C17" s="452"/>
      <c r="D17" s="453"/>
      <c r="E17" s="453"/>
      <c r="F17" s="453"/>
      <c r="G17" s="453"/>
      <c r="H17" s="453"/>
      <c r="I17" s="453"/>
    </row>
    <row r="18" spans="2:9">
      <c r="B18" s="451"/>
      <c r="C18" s="452"/>
      <c r="D18" s="453"/>
      <c r="E18" s="453"/>
      <c r="F18" s="453"/>
      <c r="G18" s="453"/>
      <c r="H18" s="453"/>
      <c r="I18" s="453"/>
    </row>
    <row r="19" ht="17.25" customHeight="1" spans="2:9">
      <c r="B19" s="454"/>
      <c r="C19" s="452"/>
      <c r="D19" s="453"/>
      <c r="E19" s="453"/>
      <c r="F19" s="453"/>
      <c r="G19" s="453"/>
      <c r="H19" s="453"/>
      <c r="I19" s="453"/>
    </row>
    <row r="20" ht="17.25" customHeight="1" spans="2:9">
      <c r="B20" s="449" t="s">
        <v>112</v>
      </c>
      <c r="C20" s="450" t="s">
        <v>113</v>
      </c>
      <c r="D20" s="453"/>
      <c r="E20" s="453"/>
      <c r="F20" s="453"/>
      <c r="G20" s="453"/>
      <c r="H20" s="453"/>
      <c r="I20" s="453"/>
    </row>
    <row r="21" ht="17.25" customHeight="1" spans="2:9">
      <c r="B21" s="449"/>
      <c r="C21" s="451"/>
      <c r="D21" s="453"/>
      <c r="E21" s="453"/>
      <c r="F21" s="453"/>
      <c r="G21" s="453"/>
      <c r="H21" s="453"/>
      <c r="I21" s="453"/>
    </row>
    <row r="22" ht="17.25" customHeight="1" spans="2:9">
      <c r="B22" s="449"/>
      <c r="C22" s="451"/>
      <c r="D22" s="453"/>
      <c r="E22" s="453"/>
      <c r="F22" s="453"/>
      <c r="G22" s="453"/>
      <c r="H22" s="453"/>
      <c r="I22" s="453"/>
    </row>
    <row r="23" ht="17.25" customHeight="1" spans="2:9">
      <c r="B23" s="340"/>
      <c r="C23" s="455"/>
      <c r="D23" s="453"/>
      <c r="E23" s="453"/>
      <c r="F23" s="453"/>
      <c r="G23" s="453"/>
      <c r="H23" s="453"/>
      <c r="I23" s="453"/>
    </row>
    <row r="24" hidden="1" spans="2:9">
      <c r="B24" s="340"/>
      <c r="C24" s="455" t="s">
        <v>111</v>
      </c>
      <c r="D24" s="453"/>
      <c r="E24" s="453"/>
      <c r="F24" s="453"/>
      <c r="G24" s="453"/>
      <c r="H24" s="453"/>
      <c r="I24" s="453"/>
    </row>
    <row r="25" hidden="1" spans="2:9">
      <c r="B25" s="340"/>
      <c r="C25" s="455" t="s">
        <v>114</v>
      </c>
      <c r="D25" s="453"/>
      <c r="E25" s="453"/>
      <c r="F25" s="453"/>
      <c r="G25" s="453"/>
      <c r="H25" s="453"/>
      <c r="I25" s="453"/>
    </row>
    <row r="26" hidden="1" spans="2:9">
      <c r="B26" s="456"/>
      <c r="C26" s="455" t="s">
        <v>115</v>
      </c>
      <c r="D26" s="453"/>
      <c r="E26" s="453"/>
      <c r="F26" s="453"/>
      <c r="G26" s="453"/>
      <c r="H26" s="453"/>
      <c r="I26" s="453"/>
    </row>
    <row r="27" s="422" customFormat="1" hidden="1" spans="2:7">
      <c r="B27" s="456"/>
      <c r="C27" s="456"/>
      <c r="D27" s="453"/>
      <c r="E27" s="453"/>
      <c r="F27" s="453"/>
      <c r="G27" s="453"/>
    </row>
    <row r="28" s="422" customFormat="1" hidden="1" spans="2:7">
      <c r="B28" s="456"/>
      <c r="C28" s="456"/>
      <c r="D28" s="453"/>
      <c r="E28" s="453"/>
      <c r="F28" s="453"/>
      <c r="G28" s="453"/>
    </row>
    <row r="29" s="422" customFormat="1" hidden="1" spans="2:7">
      <c r="B29" s="456"/>
      <c r="C29" s="456" t="s">
        <v>116</v>
      </c>
      <c r="D29" s="453"/>
      <c r="E29" s="453"/>
      <c r="F29" s="453"/>
      <c r="G29" s="453"/>
    </row>
    <row r="30" s="422" customFormat="1" hidden="1" spans="2:7">
      <c r="B30" s="456"/>
      <c r="C30" s="456" t="s">
        <v>117</v>
      </c>
      <c r="D30" s="453"/>
      <c r="E30" s="453"/>
      <c r="F30" s="453"/>
      <c r="G30" s="453"/>
    </row>
    <row r="31" hidden="1" spans="2:7">
      <c r="B31" s="456"/>
      <c r="C31" s="456" t="s">
        <v>113</v>
      </c>
      <c r="D31" s="451"/>
      <c r="E31" s="451"/>
      <c r="F31" s="451"/>
      <c r="G31" s="451"/>
    </row>
    <row r="32" hidden="1" spans="2:7">
      <c r="B32" s="456"/>
      <c r="C32" s="456" t="s">
        <v>118</v>
      </c>
      <c r="D32" s="451"/>
      <c r="E32" s="451"/>
      <c r="F32" s="451"/>
      <c r="G32" s="451"/>
    </row>
    <row r="33" hidden="1" spans="2:7">
      <c r="B33" s="456"/>
      <c r="C33" s="456" t="s">
        <v>119</v>
      </c>
      <c r="D33" s="451"/>
      <c r="E33" s="451"/>
      <c r="F33" s="451"/>
      <c r="G33" s="451"/>
    </row>
    <row r="34" hidden="1" spans="2:7">
      <c r="B34" s="456"/>
      <c r="C34" s="456" t="s">
        <v>120</v>
      </c>
      <c r="D34" s="451"/>
      <c r="E34" s="451"/>
      <c r="F34" s="451"/>
      <c r="G34" s="451"/>
    </row>
    <row r="35" hidden="1" spans="2:7">
      <c r="B35" s="456"/>
      <c r="C35" s="456" t="s">
        <v>121</v>
      </c>
      <c r="D35" s="451"/>
      <c r="E35" s="451"/>
      <c r="F35" s="451"/>
      <c r="G35" s="451"/>
    </row>
    <row r="36" hidden="1" spans="2:7">
      <c r="B36" s="456"/>
      <c r="C36" s="456" t="s">
        <v>122</v>
      </c>
      <c r="D36" s="451"/>
      <c r="E36" s="451"/>
      <c r="F36" s="451"/>
      <c r="G36" s="451"/>
    </row>
    <row r="37" hidden="1" spans="2:7">
      <c r="B37" s="456"/>
      <c r="C37" s="456" t="s">
        <v>123</v>
      </c>
      <c r="D37" s="451"/>
      <c r="E37" s="451"/>
      <c r="F37" s="451"/>
      <c r="G37" s="451"/>
    </row>
    <row r="38" spans="2:7">
      <c r="B38" s="456"/>
      <c r="C38" s="456"/>
      <c r="D38" s="451"/>
      <c r="E38" s="451"/>
      <c r="F38" s="451"/>
      <c r="G38" s="451"/>
    </row>
    <row r="39" spans="2:7">
      <c r="B39" s="456"/>
      <c r="C39" s="456"/>
      <c r="D39" s="451"/>
      <c r="E39" s="451"/>
      <c r="F39" s="451"/>
      <c r="G39" s="451"/>
    </row>
    <row r="40" spans="2:7">
      <c r="B40" s="451"/>
      <c r="C40" s="451"/>
      <c r="D40" s="451"/>
      <c r="E40" s="451"/>
      <c r="F40" s="451"/>
      <c r="G40" s="451"/>
    </row>
    <row r="41" spans="2:7">
      <c r="B41" s="451"/>
      <c r="C41" s="451"/>
      <c r="D41" s="451"/>
      <c r="E41" s="451"/>
      <c r="F41" s="451"/>
      <c r="G41" s="451"/>
    </row>
    <row r="42" spans="2:7">
      <c r="B42" s="451"/>
      <c r="C42" s="451"/>
      <c r="D42" s="451"/>
      <c r="E42" s="451"/>
      <c r="F42" s="451"/>
      <c r="G42" s="451"/>
    </row>
    <row r="43" spans="2:7">
      <c r="B43" s="451"/>
      <c r="C43" s="451"/>
      <c r="D43" s="451"/>
      <c r="E43" s="451"/>
      <c r="F43" s="451"/>
      <c r="G43" s="451"/>
    </row>
    <row r="44" spans="2:7">
      <c r="B44" s="451"/>
      <c r="C44" s="451"/>
      <c r="D44" s="451"/>
      <c r="E44" s="451"/>
      <c r="F44" s="451"/>
      <c r="G44" s="451"/>
    </row>
    <row r="45" spans="2:7">
      <c r="B45" s="451"/>
      <c r="C45" s="451"/>
      <c r="D45" s="451"/>
      <c r="E45" s="451"/>
      <c r="F45" s="451"/>
      <c r="G45" s="451"/>
    </row>
    <row r="46" spans="2:7">
      <c r="B46" s="451"/>
      <c r="C46" s="451"/>
      <c r="D46" s="451"/>
      <c r="E46" s="451"/>
      <c r="F46" s="451"/>
      <c r="G46" s="451"/>
    </row>
  </sheetData>
  <sheetProtection formatCells="0" insertHyperlinks="0" autoFilter="0"/>
  <dataValidations count="2">
    <dataValidation type="list" allowBlank="1" showInputMessage="1" showErrorMessage="1" sqref="C16">
      <formula1>$C$24:$C$25</formula1>
    </dataValidation>
    <dataValidation type="list" allowBlank="1" showInputMessage="1" showErrorMessage="1" sqref="C20">
      <formula1>$C$29:$C$37</formula1>
    </dataValidation>
  </dataValidations>
  <hyperlinks>
    <hyperlink ref="A1" location="'目录'!C6" display="&lt;&lt;"/>
  </hyperlinks>
  <printOptions horizontalCentered="1"/>
  <pageMargins left="0.590551181102362" right="0.196850393700787" top="0.984251968503937" bottom="0.984251968503937" header="0.511811023622047" footer="0.511811023622047"/>
  <pageSetup paperSize="9" scale="82" firstPageNumber="4294963191" fitToHeight="0" orientation="portrait" blackAndWhite="1" useFirstPageNumber="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V180"/>
  <sheetViews>
    <sheetView showGridLines="0" zoomScale="81" zoomScaleNormal="81" zoomScaleSheetLayoutView="85" workbookViewId="0">
      <pane ySplit="4" topLeftCell="A21" activePane="bottomLeft" state="frozen"/>
      <selection/>
      <selection pane="bottomLeft" activeCell="B122" sqref="B122"/>
    </sheetView>
  </sheetViews>
  <sheetFormatPr defaultColWidth="9" defaultRowHeight="13.1"/>
  <cols>
    <col min="1" max="1" width="2.7" style="301" customWidth="1"/>
    <col min="2" max="2" width="8.6" style="301" customWidth="1"/>
    <col min="3" max="3" width="10.5" style="301" customWidth="1"/>
    <col min="4" max="4" width="14.6" style="302" customWidth="1"/>
    <col min="5" max="5" width="11.1" style="302" customWidth="1"/>
    <col min="6" max="8" width="10.6" style="301" customWidth="1"/>
    <col min="9" max="9" width="10.2" style="301" customWidth="1"/>
    <col min="10" max="20" width="10.6" style="301" customWidth="1"/>
    <col min="21" max="21" width="7.6" style="301" customWidth="1"/>
    <col min="22" max="22" width="11.6" style="301" customWidth="1"/>
    <col min="23" max="16384" width="9" style="301"/>
  </cols>
  <sheetData>
    <row r="1" s="222" customFormat="1" ht="28.5" customHeight="1" spans="1:22">
      <c r="A1" s="226" t="s">
        <v>40</v>
      </c>
      <c r="B1" s="177" t="s">
        <v>31</v>
      </c>
      <c r="C1" s="303"/>
      <c r="D1" s="227"/>
      <c r="E1" s="227"/>
      <c r="F1" s="228"/>
      <c r="G1" s="228"/>
      <c r="H1" s="229"/>
      <c r="I1" s="230"/>
      <c r="J1" s="231"/>
      <c r="K1" s="235"/>
      <c r="L1" s="235"/>
      <c r="M1" s="235"/>
      <c r="N1" s="235"/>
      <c r="O1" s="235"/>
      <c r="P1" s="235"/>
      <c r="Q1" s="235"/>
      <c r="R1" s="235"/>
      <c r="S1" s="235"/>
      <c r="T1" s="235"/>
      <c r="U1" s="287" t="s">
        <v>42</v>
      </c>
      <c r="V1" s="100" t="str">
        <f>目录!E7</f>
        <v>4110-3</v>
      </c>
    </row>
    <row r="2" s="222" customFormat="1" ht="25.95" customHeight="1" spans="1:10">
      <c r="A2" s="232"/>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65"/>
      <c r="D2" s="233"/>
      <c r="E2" s="233"/>
      <c r="F2" s="233"/>
      <c r="G2" s="233"/>
      <c r="H2" s="233"/>
      <c r="I2" s="233"/>
      <c r="J2" s="233"/>
    </row>
    <row r="3" s="222" customFormat="1" ht="12" customHeight="1" spans="10:10">
      <c r="J3" s="235"/>
    </row>
    <row r="4" ht="18" customHeight="1" spans="2:22">
      <c r="B4" s="304" t="s">
        <v>62</v>
      </c>
      <c r="C4" s="305" t="s">
        <v>124</v>
      </c>
      <c r="D4" s="593" t="s">
        <v>125</v>
      </c>
      <c r="E4" s="307" t="s">
        <v>126</v>
      </c>
      <c r="F4" s="308" t="s">
        <v>127</v>
      </c>
      <c r="G4" s="308" t="s">
        <v>128</v>
      </c>
      <c r="H4" s="308" t="s">
        <v>129</v>
      </c>
      <c r="I4" s="308" t="s">
        <v>130</v>
      </c>
      <c r="J4" s="308" t="s">
        <v>131</v>
      </c>
      <c r="K4" s="308" t="s">
        <v>132</v>
      </c>
      <c r="L4" s="308" t="s">
        <v>133</v>
      </c>
      <c r="M4" s="308" t="s">
        <v>134</v>
      </c>
      <c r="N4" s="308" t="s">
        <v>135</v>
      </c>
      <c r="O4" s="308" t="s">
        <v>136</v>
      </c>
      <c r="P4" s="308" t="s">
        <v>137</v>
      </c>
      <c r="Q4" s="308" t="s">
        <v>138</v>
      </c>
      <c r="R4" s="308" t="s">
        <v>139</v>
      </c>
      <c r="S4" s="308" t="s">
        <v>140</v>
      </c>
      <c r="T4" s="308" t="s">
        <v>141</v>
      </c>
      <c r="U4" s="323" t="s">
        <v>142</v>
      </c>
      <c r="V4" s="324" t="s">
        <v>90</v>
      </c>
    </row>
    <row r="5" s="298" customFormat="1" ht="13.5" customHeight="1" spans="2:22">
      <c r="B5" s="309" t="s">
        <v>143</v>
      </c>
      <c r="C5" s="310"/>
      <c r="D5" s="311"/>
      <c r="E5" s="311"/>
      <c r="F5" s="250">
        <f t="shared" ref="F5:U5" si="0">SUM(F6:F118)</f>
        <v>142819.16</v>
      </c>
      <c r="G5" s="250">
        <f t="shared" si="0"/>
        <v>139284.91</v>
      </c>
      <c r="H5" s="250">
        <f t="shared" si="0"/>
        <v>278436.06</v>
      </c>
      <c r="I5" s="250">
        <f t="shared" si="0"/>
        <v>50.889999999993</v>
      </c>
      <c r="J5" s="250">
        <f t="shared" si="0"/>
        <v>146032.19</v>
      </c>
      <c r="K5" s="250">
        <f t="shared" si="0"/>
        <v>278520.09</v>
      </c>
      <c r="L5" s="250">
        <f t="shared" si="0"/>
        <v>150191.22</v>
      </c>
      <c r="M5" s="250">
        <f t="shared" si="0"/>
        <v>15.8099999999837</v>
      </c>
      <c r="N5" s="250">
        <f t="shared" si="0"/>
        <v>141926.2</v>
      </c>
      <c r="O5" s="250">
        <f t="shared" si="0"/>
        <v>141469.6</v>
      </c>
      <c r="P5" s="250">
        <f t="shared" si="0"/>
        <v>139987.89</v>
      </c>
      <c r="Q5" s="250">
        <f t="shared" si="0"/>
        <v>346041.2</v>
      </c>
      <c r="R5" s="250">
        <f t="shared" si="0"/>
        <v>1904775.22</v>
      </c>
      <c r="S5" s="250">
        <f t="shared" si="0"/>
        <v>0</v>
      </c>
      <c r="T5" s="250">
        <f t="shared" si="0"/>
        <v>1904775.22</v>
      </c>
      <c r="U5" s="251">
        <f t="shared" si="0"/>
        <v>1</v>
      </c>
      <c r="V5" s="325"/>
    </row>
    <row r="6" s="223" customFormat="1" ht="13.5" customHeight="1" spans="1:22">
      <c r="A6" s="272"/>
      <c r="B6" s="252">
        <v>1</v>
      </c>
      <c r="C6" s="312" t="s">
        <v>9</v>
      </c>
      <c r="D6" s="313" t="s">
        <v>144</v>
      </c>
      <c r="E6" s="314" t="str">
        <f>IFERROR(VLOOKUP(D6,$E$133:$F$166,2,0),"")</f>
        <v>保险费</v>
      </c>
      <c r="F6" s="315"/>
      <c r="G6" s="315"/>
      <c r="H6" s="315"/>
      <c r="I6" s="315"/>
      <c r="J6" s="315"/>
      <c r="K6" s="315"/>
      <c r="L6" s="315"/>
      <c r="M6" s="315"/>
      <c r="N6" s="315"/>
      <c r="O6" s="315"/>
      <c r="P6" s="315"/>
      <c r="Q6" s="315">
        <v>6270.42</v>
      </c>
      <c r="R6" s="326">
        <f>SUM(F6:Q6)</f>
        <v>6270.42</v>
      </c>
      <c r="S6" s="317"/>
      <c r="T6" s="326">
        <f>R6+S6</f>
        <v>6270.42</v>
      </c>
      <c r="U6" s="327">
        <f>IF(T6=0,"",T6/$T$5)</f>
        <v>0.00329194748764109</v>
      </c>
      <c r="V6" s="328"/>
    </row>
    <row r="7" s="223" customFormat="1" ht="13.5" customHeight="1" spans="1:22">
      <c r="A7" s="272"/>
      <c r="B7" s="252">
        <v>2</v>
      </c>
      <c r="C7" s="312" t="s">
        <v>9</v>
      </c>
      <c r="D7" s="313" t="s">
        <v>145</v>
      </c>
      <c r="E7" s="314" t="str">
        <f t="shared" ref="E7:E118" si="1">IFERROR(VLOOKUP(D7,$E$133:$F$166,2,0),"")</f>
        <v>其他</v>
      </c>
      <c r="F7" s="315">
        <v>3796.2</v>
      </c>
      <c r="G7" s="315"/>
      <c r="H7" s="315">
        <v>300</v>
      </c>
      <c r="I7" s="315"/>
      <c r="J7" s="315">
        <v>2600</v>
      </c>
      <c r="K7" s="315">
        <v>600</v>
      </c>
      <c r="L7" s="315">
        <v>2000</v>
      </c>
      <c r="M7" s="315"/>
      <c r="N7" s="315">
        <v>2994</v>
      </c>
      <c r="O7" s="315"/>
      <c r="P7" s="315"/>
      <c r="Q7" s="315"/>
      <c r="R7" s="326">
        <f t="shared" ref="R7:R38" si="2">SUM(F7:Q7)</f>
        <v>12290.2</v>
      </c>
      <c r="S7" s="317"/>
      <c r="T7" s="326">
        <f t="shared" ref="T7:T38" si="3">R7+S7</f>
        <v>12290.2</v>
      </c>
      <c r="U7" s="327">
        <f>IF(T7=0,"",T7/$T$5)</f>
        <v>0.00645230989512768</v>
      </c>
      <c r="V7" s="328"/>
    </row>
    <row r="8" s="223" customFormat="1" ht="13.5" customHeight="1" spans="1:22">
      <c r="A8" s="272"/>
      <c r="B8" s="252">
        <v>3</v>
      </c>
      <c r="C8" s="312" t="s">
        <v>9</v>
      </c>
      <c r="D8" s="313" t="s">
        <v>146</v>
      </c>
      <c r="E8" s="314" t="str">
        <f t="shared" si="1"/>
        <v>其他</v>
      </c>
      <c r="F8" s="315">
        <v>90.76</v>
      </c>
      <c r="G8" s="315">
        <v>352.78</v>
      </c>
      <c r="H8" s="315">
        <v>271.66</v>
      </c>
      <c r="I8" s="315">
        <v>50.96</v>
      </c>
      <c r="J8" s="315"/>
      <c r="K8" s="315">
        <v>55.76</v>
      </c>
      <c r="L8" s="315">
        <v>59.03</v>
      </c>
      <c r="M8" s="315">
        <v>15.89</v>
      </c>
      <c r="N8" s="315"/>
      <c r="O8" s="315">
        <v>2537.47</v>
      </c>
      <c r="P8" s="315">
        <v>1055.69</v>
      </c>
      <c r="Q8" s="315">
        <v>17.36</v>
      </c>
      <c r="R8" s="326">
        <f t="shared" si="2"/>
        <v>4507.36</v>
      </c>
      <c r="S8" s="317"/>
      <c r="T8" s="326">
        <f t="shared" si="3"/>
        <v>4507.36</v>
      </c>
      <c r="U8" s="327">
        <f t="shared" ref="U8:U118" si="4">IF(T8=0,"",T8/$T$5)</f>
        <v>0.00236634745804809</v>
      </c>
      <c r="V8" s="328"/>
    </row>
    <row r="9" s="223" customFormat="1" ht="13.5" customHeight="1" spans="1:22">
      <c r="A9" s="272"/>
      <c r="B9" s="252">
        <v>4</v>
      </c>
      <c r="C9" s="312" t="s">
        <v>9</v>
      </c>
      <c r="D9" s="313" t="s">
        <v>147</v>
      </c>
      <c r="E9" s="314" t="str">
        <f t="shared" si="1"/>
        <v>无形资产摊销</v>
      </c>
      <c r="F9" s="315"/>
      <c r="G9" s="315"/>
      <c r="H9" s="315"/>
      <c r="I9" s="315"/>
      <c r="J9" s="315"/>
      <c r="K9" s="315"/>
      <c r="L9" s="315"/>
      <c r="M9" s="315"/>
      <c r="N9" s="315"/>
      <c r="O9" s="315"/>
      <c r="P9" s="315"/>
      <c r="Q9" s="315">
        <v>200821.29</v>
      </c>
      <c r="R9" s="326">
        <f t="shared" si="2"/>
        <v>200821.29</v>
      </c>
      <c r="S9" s="317"/>
      <c r="T9" s="326">
        <f t="shared" si="3"/>
        <v>200821.29</v>
      </c>
      <c r="U9" s="327">
        <f t="shared" si="4"/>
        <v>0.105430440238508</v>
      </c>
      <c r="V9" s="328"/>
    </row>
    <row r="10" s="223" customFormat="1" ht="13.5" customHeight="1" spans="1:22">
      <c r="A10" s="272"/>
      <c r="B10" s="252">
        <v>5</v>
      </c>
      <c r="C10" s="312" t="s">
        <v>9</v>
      </c>
      <c r="D10" s="313" t="s">
        <v>148</v>
      </c>
      <c r="E10" s="314" t="str">
        <f t="shared" si="1"/>
        <v>折旧费</v>
      </c>
      <c r="F10" s="315">
        <v>138932.2</v>
      </c>
      <c r="G10" s="315">
        <v>138932.13</v>
      </c>
      <c r="H10" s="315">
        <v>277864.4</v>
      </c>
      <c r="I10" s="315">
        <v>-0.0700000000069849</v>
      </c>
      <c r="J10" s="315">
        <v>138932.19</v>
      </c>
      <c r="K10" s="315">
        <v>277864.33</v>
      </c>
      <c r="L10" s="315">
        <v>138932.19</v>
      </c>
      <c r="M10" s="315">
        <v>-0.0800000000162982</v>
      </c>
      <c r="N10" s="315">
        <v>138932.2</v>
      </c>
      <c r="O10" s="315">
        <v>138932.13</v>
      </c>
      <c r="P10" s="315">
        <v>138932.2</v>
      </c>
      <c r="Q10" s="315">
        <v>138932.13</v>
      </c>
      <c r="R10" s="326">
        <f t="shared" si="2"/>
        <v>1667185.95</v>
      </c>
      <c r="S10" s="317"/>
      <c r="T10" s="326">
        <f t="shared" si="3"/>
        <v>1667185.95</v>
      </c>
      <c r="U10" s="327">
        <f t="shared" si="4"/>
        <v>0.875266505199495</v>
      </c>
      <c r="V10" s="328"/>
    </row>
    <row r="11" s="223" customFormat="1" ht="13.5" customHeight="1" spans="1:22">
      <c r="A11" s="272"/>
      <c r="B11" s="252">
        <v>6</v>
      </c>
      <c r="C11" s="312" t="s">
        <v>9</v>
      </c>
      <c r="D11" s="313" t="s">
        <v>149</v>
      </c>
      <c r="E11" s="314" t="str">
        <f t="shared" si="1"/>
        <v>聘请中介机构费</v>
      </c>
      <c r="F11" s="315"/>
      <c r="G11" s="315"/>
      <c r="H11" s="315"/>
      <c r="I11" s="315"/>
      <c r="J11" s="315">
        <v>4500</v>
      </c>
      <c r="K11" s="315"/>
      <c r="L11" s="315"/>
      <c r="M11" s="315"/>
      <c r="N11" s="315"/>
      <c r="O11" s="315"/>
      <c r="P11" s="315"/>
      <c r="Q11" s="315"/>
      <c r="R11" s="326">
        <f t="shared" si="2"/>
        <v>4500</v>
      </c>
      <c r="S11" s="317"/>
      <c r="T11" s="326">
        <f t="shared" si="3"/>
        <v>4500</v>
      </c>
      <c r="U11" s="327">
        <f t="shared" si="4"/>
        <v>0.0023624834850592</v>
      </c>
      <c r="V11" s="328"/>
    </row>
    <row r="12" s="223" customFormat="1" ht="13.5" customHeight="1" spans="1:22">
      <c r="A12" s="272"/>
      <c r="B12" s="252">
        <v>7</v>
      </c>
      <c r="C12" s="312" t="s">
        <v>9</v>
      </c>
      <c r="D12" s="313" t="s">
        <v>150</v>
      </c>
      <c r="E12" s="314" t="str">
        <f t="shared" si="1"/>
        <v>聘请中介机构费</v>
      </c>
      <c r="F12" s="315"/>
      <c r="G12" s="315"/>
      <c r="H12" s="315"/>
      <c r="I12" s="315"/>
      <c r="J12" s="315"/>
      <c r="K12" s="315"/>
      <c r="L12" s="315">
        <v>9200</v>
      </c>
      <c r="M12" s="315"/>
      <c r="N12" s="315"/>
      <c r="O12" s="315"/>
      <c r="P12" s="315"/>
      <c r="Q12" s="315"/>
      <c r="R12" s="326">
        <f t="shared" si="2"/>
        <v>9200</v>
      </c>
      <c r="S12" s="317"/>
      <c r="T12" s="326">
        <f t="shared" si="3"/>
        <v>9200</v>
      </c>
      <c r="U12" s="327">
        <f t="shared" si="4"/>
        <v>0.00482996623612103</v>
      </c>
      <c r="V12" s="328"/>
    </row>
    <row r="13" s="223" customFormat="1" ht="13.5" customHeight="1" spans="1:22">
      <c r="A13" s="272"/>
      <c r="B13" s="252">
        <v>8</v>
      </c>
      <c r="C13" s="312"/>
      <c r="D13" s="313"/>
      <c r="E13" s="314" t="str">
        <f t="shared" si="1"/>
        <v/>
      </c>
      <c r="F13" s="315"/>
      <c r="G13" s="315"/>
      <c r="H13" s="315"/>
      <c r="I13" s="315"/>
      <c r="J13" s="315"/>
      <c r="K13" s="315"/>
      <c r="L13" s="315"/>
      <c r="M13" s="315"/>
      <c r="N13" s="315"/>
      <c r="O13" s="315"/>
      <c r="P13" s="315"/>
      <c r="Q13" s="315"/>
      <c r="R13" s="326">
        <f t="shared" si="2"/>
        <v>0</v>
      </c>
      <c r="S13" s="317"/>
      <c r="T13" s="326">
        <f t="shared" si="3"/>
        <v>0</v>
      </c>
      <c r="U13" s="327" t="str">
        <f t="shared" si="4"/>
        <v/>
      </c>
      <c r="V13" s="328"/>
    </row>
    <row r="14" s="223" customFormat="1" ht="13.5" customHeight="1" spans="1:22">
      <c r="A14" s="272"/>
      <c r="B14" s="252">
        <v>9</v>
      </c>
      <c r="C14" s="312"/>
      <c r="D14" s="313"/>
      <c r="E14" s="314" t="str">
        <f t="shared" si="1"/>
        <v/>
      </c>
      <c r="F14" s="315"/>
      <c r="G14" s="315"/>
      <c r="H14" s="315"/>
      <c r="I14" s="315"/>
      <c r="J14" s="315"/>
      <c r="K14" s="315"/>
      <c r="L14" s="315"/>
      <c r="M14" s="315"/>
      <c r="N14" s="315"/>
      <c r="O14" s="315"/>
      <c r="P14" s="315"/>
      <c r="Q14" s="315"/>
      <c r="R14" s="326">
        <f t="shared" si="2"/>
        <v>0</v>
      </c>
      <c r="S14" s="317"/>
      <c r="T14" s="326">
        <f t="shared" si="3"/>
        <v>0</v>
      </c>
      <c r="U14" s="327" t="str">
        <f t="shared" si="4"/>
        <v/>
      </c>
      <c r="V14" s="328"/>
    </row>
    <row r="15" s="223" customFormat="1" ht="13.5" customHeight="1" spans="1:22">
      <c r="A15" s="272"/>
      <c r="B15" s="252">
        <v>10</v>
      </c>
      <c r="C15" s="312"/>
      <c r="D15" s="313"/>
      <c r="E15" s="314" t="str">
        <f t="shared" si="1"/>
        <v/>
      </c>
      <c r="F15" s="315"/>
      <c r="G15" s="315"/>
      <c r="H15" s="315"/>
      <c r="I15" s="315"/>
      <c r="J15" s="315"/>
      <c r="K15" s="315"/>
      <c r="L15" s="315"/>
      <c r="M15" s="315"/>
      <c r="N15" s="315"/>
      <c r="O15" s="315"/>
      <c r="P15" s="315"/>
      <c r="Q15" s="315"/>
      <c r="R15" s="326">
        <f t="shared" si="2"/>
        <v>0</v>
      </c>
      <c r="S15" s="317"/>
      <c r="T15" s="326">
        <f t="shared" si="3"/>
        <v>0</v>
      </c>
      <c r="U15" s="327" t="str">
        <f t="shared" si="4"/>
        <v/>
      </c>
      <c r="V15" s="328"/>
    </row>
    <row r="16" s="223" customFormat="1" ht="13.5" customHeight="1" spans="1:22">
      <c r="A16" s="272"/>
      <c r="B16" s="252">
        <v>11</v>
      </c>
      <c r="C16" s="312"/>
      <c r="D16" s="313"/>
      <c r="E16" s="314" t="str">
        <f t="shared" si="1"/>
        <v/>
      </c>
      <c r="F16" s="315"/>
      <c r="G16" s="315"/>
      <c r="H16" s="315"/>
      <c r="I16" s="315"/>
      <c r="J16" s="315"/>
      <c r="K16" s="315"/>
      <c r="L16" s="315"/>
      <c r="M16" s="315"/>
      <c r="N16" s="315"/>
      <c r="O16" s="315"/>
      <c r="P16" s="315"/>
      <c r="Q16" s="315"/>
      <c r="R16" s="326">
        <f t="shared" si="2"/>
        <v>0</v>
      </c>
      <c r="S16" s="317"/>
      <c r="T16" s="326">
        <f t="shared" si="3"/>
        <v>0</v>
      </c>
      <c r="U16" s="327" t="str">
        <f t="shared" si="4"/>
        <v/>
      </c>
      <c r="V16" s="328"/>
    </row>
    <row r="17" ht="13.5" customHeight="1" spans="2:22">
      <c r="B17" s="252">
        <v>12</v>
      </c>
      <c r="C17" s="312"/>
      <c r="D17" s="313"/>
      <c r="E17" s="314" t="str">
        <f t="shared" si="1"/>
        <v/>
      </c>
      <c r="F17" s="315"/>
      <c r="G17" s="315"/>
      <c r="H17" s="315"/>
      <c r="I17" s="315"/>
      <c r="J17" s="315"/>
      <c r="K17" s="315"/>
      <c r="L17" s="315"/>
      <c r="M17" s="315"/>
      <c r="N17" s="315"/>
      <c r="O17" s="315"/>
      <c r="P17" s="315"/>
      <c r="Q17" s="315"/>
      <c r="R17" s="326">
        <f t="shared" si="2"/>
        <v>0</v>
      </c>
      <c r="S17" s="317"/>
      <c r="T17" s="326">
        <f t="shared" si="3"/>
        <v>0</v>
      </c>
      <c r="U17" s="327" t="str">
        <f t="shared" si="4"/>
        <v/>
      </c>
      <c r="V17" s="328"/>
    </row>
    <row r="18" ht="13.5" customHeight="1" spans="2:22">
      <c r="B18" s="252">
        <v>13</v>
      </c>
      <c r="C18" s="312"/>
      <c r="D18" s="313"/>
      <c r="E18" s="314" t="str">
        <f t="shared" si="1"/>
        <v/>
      </c>
      <c r="F18" s="315"/>
      <c r="G18" s="315"/>
      <c r="H18" s="315"/>
      <c r="I18" s="315"/>
      <c r="J18" s="315"/>
      <c r="K18" s="315"/>
      <c r="L18" s="315"/>
      <c r="M18" s="315"/>
      <c r="N18" s="315"/>
      <c r="O18" s="315"/>
      <c r="P18" s="315"/>
      <c r="Q18" s="315"/>
      <c r="R18" s="326">
        <f t="shared" si="2"/>
        <v>0</v>
      </c>
      <c r="S18" s="317"/>
      <c r="T18" s="326">
        <f t="shared" si="3"/>
        <v>0</v>
      </c>
      <c r="U18" s="327" t="str">
        <f t="shared" si="4"/>
        <v/>
      </c>
      <c r="V18" s="328"/>
    </row>
    <row r="19" ht="13.5" customHeight="1" spans="2:22">
      <c r="B19" s="252">
        <v>14</v>
      </c>
      <c r="C19" s="312"/>
      <c r="D19" s="313"/>
      <c r="E19" s="314" t="str">
        <f t="shared" si="1"/>
        <v/>
      </c>
      <c r="F19" s="315"/>
      <c r="G19" s="315"/>
      <c r="H19" s="315"/>
      <c r="I19" s="315"/>
      <c r="J19" s="315"/>
      <c r="K19" s="315"/>
      <c r="L19" s="315"/>
      <c r="M19" s="315"/>
      <c r="N19" s="315"/>
      <c r="O19" s="315"/>
      <c r="P19" s="315"/>
      <c r="Q19" s="315"/>
      <c r="R19" s="326">
        <f t="shared" si="2"/>
        <v>0</v>
      </c>
      <c r="S19" s="317"/>
      <c r="T19" s="326">
        <f t="shared" si="3"/>
        <v>0</v>
      </c>
      <c r="U19" s="327" t="str">
        <f t="shared" si="4"/>
        <v/>
      </c>
      <c r="V19" s="328"/>
    </row>
    <row r="20" ht="13.5" customHeight="1" spans="2:22">
      <c r="B20" s="252">
        <v>15</v>
      </c>
      <c r="C20" s="312"/>
      <c r="D20" s="313"/>
      <c r="E20" s="314" t="str">
        <f t="shared" si="1"/>
        <v/>
      </c>
      <c r="F20" s="315"/>
      <c r="G20" s="315"/>
      <c r="H20" s="315"/>
      <c r="I20" s="315"/>
      <c r="J20" s="315"/>
      <c r="K20" s="315"/>
      <c r="L20" s="315"/>
      <c r="M20" s="315"/>
      <c r="N20" s="315"/>
      <c r="O20" s="315"/>
      <c r="P20" s="315"/>
      <c r="Q20" s="315"/>
      <c r="R20" s="326">
        <f t="shared" si="2"/>
        <v>0</v>
      </c>
      <c r="S20" s="317"/>
      <c r="T20" s="326">
        <f t="shared" si="3"/>
        <v>0</v>
      </c>
      <c r="U20" s="327" t="str">
        <f t="shared" si="4"/>
        <v/>
      </c>
      <c r="V20" s="328"/>
    </row>
    <row r="21" ht="13.5" customHeight="1" spans="2:22">
      <c r="B21" s="252">
        <v>16</v>
      </c>
      <c r="C21" s="312"/>
      <c r="D21" s="313"/>
      <c r="E21" s="314" t="str">
        <f t="shared" si="1"/>
        <v/>
      </c>
      <c r="F21" s="315"/>
      <c r="G21" s="315"/>
      <c r="H21" s="315"/>
      <c r="I21" s="315"/>
      <c r="J21" s="315"/>
      <c r="K21" s="315"/>
      <c r="L21" s="315"/>
      <c r="M21" s="315"/>
      <c r="N21" s="315"/>
      <c r="O21" s="315"/>
      <c r="P21" s="315"/>
      <c r="Q21" s="315"/>
      <c r="R21" s="326">
        <f t="shared" si="2"/>
        <v>0</v>
      </c>
      <c r="S21" s="317"/>
      <c r="T21" s="326">
        <f t="shared" si="3"/>
        <v>0</v>
      </c>
      <c r="U21" s="327" t="str">
        <f t="shared" si="4"/>
        <v/>
      </c>
      <c r="V21" s="328"/>
    </row>
    <row r="22" ht="13.5" customHeight="1" spans="2:22">
      <c r="B22" s="252">
        <v>17</v>
      </c>
      <c r="C22" s="312"/>
      <c r="D22" s="313"/>
      <c r="E22" s="314" t="str">
        <f t="shared" si="1"/>
        <v/>
      </c>
      <c r="F22" s="315"/>
      <c r="G22" s="315"/>
      <c r="H22" s="315"/>
      <c r="I22" s="315"/>
      <c r="J22" s="315"/>
      <c r="K22" s="315"/>
      <c r="L22" s="315"/>
      <c r="M22" s="315"/>
      <c r="N22" s="315"/>
      <c r="O22" s="315"/>
      <c r="P22" s="315"/>
      <c r="Q22" s="315"/>
      <c r="R22" s="326">
        <f t="shared" si="2"/>
        <v>0</v>
      </c>
      <c r="S22" s="317"/>
      <c r="T22" s="326">
        <f t="shared" si="3"/>
        <v>0</v>
      </c>
      <c r="U22" s="327" t="str">
        <f t="shared" si="4"/>
        <v/>
      </c>
      <c r="V22" s="328"/>
    </row>
    <row r="23" ht="13.5" customHeight="1" spans="2:22">
      <c r="B23" s="252">
        <v>18</v>
      </c>
      <c r="C23" s="312"/>
      <c r="D23" s="316"/>
      <c r="E23" s="314" t="str">
        <f t="shared" si="1"/>
        <v/>
      </c>
      <c r="F23" s="317"/>
      <c r="G23" s="317"/>
      <c r="H23" s="317"/>
      <c r="I23" s="317"/>
      <c r="J23" s="317"/>
      <c r="K23" s="317"/>
      <c r="L23" s="317"/>
      <c r="M23" s="317"/>
      <c r="N23" s="317"/>
      <c r="O23" s="317"/>
      <c r="P23" s="317"/>
      <c r="Q23" s="317"/>
      <c r="R23" s="326">
        <f t="shared" si="2"/>
        <v>0</v>
      </c>
      <c r="S23" s="317"/>
      <c r="T23" s="326">
        <f t="shared" si="3"/>
        <v>0</v>
      </c>
      <c r="U23" s="327" t="str">
        <f t="shared" si="4"/>
        <v/>
      </c>
      <c r="V23" s="328"/>
    </row>
    <row r="24" ht="13.5" customHeight="1" spans="2:22">
      <c r="B24" s="252">
        <v>19</v>
      </c>
      <c r="C24" s="318"/>
      <c r="D24" s="319"/>
      <c r="E24" s="314" t="str">
        <f t="shared" si="1"/>
        <v/>
      </c>
      <c r="F24" s="317"/>
      <c r="G24" s="317"/>
      <c r="H24" s="317"/>
      <c r="I24" s="317"/>
      <c r="J24" s="317"/>
      <c r="K24" s="317"/>
      <c r="L24" s="317"/>
      <c r="M24" s="317"/>
      <c r="N24" s="317"/>
      <c r="O24" s="317"/>
      <c r="P24" s="317"/>
      <c r="Q24" s="317"/>
      <c r="R24" s="326">
        <f t="shared" si="2"/>
        <v>0</v>
      </c>
      <c r="S24" s="321"/>
      <c r="T24" s="326">
        <f t="shared" si="3"/>
        <v>0</v>
      </c>
      <c r="U24" s="327" t="str">
        <f t="shared" ref="U24:U55" si="5">IF(T24=0,"",T24/$T$5)</f>
        <v/>
      </c>
      <c r="V24" s="329"/>
    </row>
    <row r="25" ht="13.5" customHeight="1" spans="2:22">
      <c r="B25" s="252">
        <v>20</v>
      </c>
      <c r="C25" s="318"/>
      <c r="D25" s="319"/>
      <c r="E25" s="320" t="str">
        <f t="shared" si="1"/>
        <v/>
      </c>
      <c r="F25" s="321"/>
      <c r="G25" s="321"/>
      <c r="H25" s="321"/>
      <c r="I25" s="321"/>
      <c r="J25" s="321"/>
      <c r="K25" s="321"/>
      <c r="L25" s="322"/>
      <c r="M25" s="322"/>
      <c r="N25" s="322"/>
      <c r="O25" s="322"/>
      <c r="P25" s="322"/>
      <c r="Q25" s="322"/>
      <c r="R25" s="326">
        <f t="shared" si="2"/>
        <v>0</v>
      </c>
      <c r="S25" s="321"/>
      <c r="T25" s="326">
        <f t="shared" si="3"/>
        <v>0</v>
      </c>
      <c r="U25" s="327" t="str">
        <f t="shared" si="5"/>
        <v/>
      </c>
      <c r="V25" s="329"/>
    </row>
    <row r="26" ht="13.5" customHeight="1" spans="2:22">
      <c r="B26" s="252">
        <v>21</v>
      </c>
      <c r="C26" s="318"/>
      <c r="D26" s="319"/>
      <c r="E26" s="320" t="str">
        <f t="shared" si="1"/>
        <v/>
      </c>
      <c r="F26" s="321"/>
      <c r="G26" s="321"/>
      <c r="H26" s="321"/>
      <c r="I26" s="321"/>
      <c r="J26" s="321"/>
      <c r="K26" s="321"/>
      <c r="L26" s="322"/>
      <c r="M26" s="322"/>
      <c r="N26" s="322"/>
      <c r="O26" s="322"/>
      <c r="P26" s="322"/>
      <c r="Q26" s="322"/>
      <c r="R26" s="326">
        <f t="shared" si="2"/>
        <v>0</v>
      </c>
      <c r="S26" s="321"/>
      <c r="T26" s="326">
        <f t="shared" si="3"/>
        <v>0</v>
      </c>
      <c r="U26" s="327" t="str">
        <f t="shared" si="5"/>
        <v/>
      </c>
      <c r="V26" s="329"/>
    </row>
    <row r="27" ht="13.5" customHeight="1" spans="2:22">
      <c r="B27" s="252">
        <v>22</v>
      </c>
      <c r="C27" s="318"/>
      <c r="D27" s="319"/>
      <c r="E27" s="320" t="str">
        <f t="shared" si="1"/>
        <v/>
      </c>
      <c r="F27" s="321"/>
      <c r="G27" s="321"/>
      <c r="H27" s="321"/>
      <c r="I27" s="321"/>
      <c r="J27" s="321"/>
      <c r="K27" s="321"/>
      <c r="L27" s="322"/>
      <c r="M27" s="322"/>
      <c r="N27" s="322"/>
      <c r="O27" s="322"/>
      <c r="P27" s="322"/>
      <c r="Q27" s="322"/>
      <c r="R27" s="326">
        <f t="shared" si="2"/>
        <v>0</v>
      </c>
      <c r="S27" s="321"/>
      <c r="T27" s="326">
        <f t="shared" si="3"/>
        <v>0</v>
      </c>
      <c r="U27" s="327" t="str">
        <f t="shared" si="5"/>
        <v/>
      </c>
      <c r="V27" s="329"/>
    </row>
    <row r="28" ht="13.5" customHeight="1" spans="2:22">
      <c r="B28" s="252">
        <v>23</v>
      </c>
      <c r="C28" s="318"/>
      <c r="D28" s="319"/>
      <c r="E28" s="320" t="str">
        <f t="shared" si="1"/>
        <v/>
      </c>
      <c r="F28" s="321"/>
      <c r="G28" s="321"/>
      <c r="H28" s="321"/>
      <c r="I28" s="321"/>
      <c r="J28" s="321"/>
      <c r="K28" s="321"/>
      <c r="L28" s="322"/>
      <c r="M28" s="322"/>
      <c r="N28" s="322"/>
      <c r="O28" s="322"/>
      <c r="P28" s="322"/>
      <c r="Q28" s="322"/>
      <c r="R28" s="326">
        <f t="shared" si="2"/>
        <v>0</v>
      </c>
      <c r="S28" s="321"/>
      <c r="T28" s="326">
        <f t="shared" si="3"/>
        <v>0</v>
      </c>
      <c r="U28" s="327" t="str">
        <f t="shared" si="5"/>
        <v/>
      </c>
      <c r="V28" s="329"/>
    </row>
    <row r="29" ht="13.5" hidden="1" customHeight="1" outlineLevel="1" spans="2:22">
      <c r="B29" s="252">
        <v>24</v>
      </c>
      <c r="C29" s="318"/>
      <c r="D29" s="319"/>
      <c r="E29" s="320" t="str">
        <f t="shared" si="1"/>
        <v/>
      </c>
      <c r="F29" s="321"/>
      <c r="G29" s="321"/>
      <c r="H29" s="321"/>
      <c r="I29" s="321"/>
      <c r="J29" s="321"/>
      <c r="K29" s="321"/>
      <c r="L29" s="322"/>
      <c r="M29" s="322"/>
      <c r="N29" s="322"/>
      <c r="O29" s="322"/>
      <c r="P29" s="322"/>
      <c r="Q29" s="322"/>
      <c r="R29" s="326">
        <f t="shared" si="2"/>
        <v>0</v>
      </c>
      <c r="S29" s="321"/>
      <c r="T29" s="326">
        <f t="shared" si="3"/>
        <v>0</v>
      </c>
      <c r="U29" s="327" t="str">
        <f t="shared" si="5"/>
        <v/>
      </c>
      <c r="V29" s="329"/>
    </row>
    <row r="30" ht="13.5" hidden="1" customHeight="1" outlineLevel="1" spans="2:22">
      <c r="B30" s="252">
        <v>25</v>
      </c>
      <c r="C30" s="318"/>
      <c r="D30" s="319"/>
      <c r="E30" s="320" t="str">
        <f t="shared" si="1"/>
        <v/>
      </c>
      <c r="F30" s="321"/>
      <c r="G30" s="321"/>
      <c r="H30" s="321"/>
      <c r="I30" s="321"/>
      <c r="J30" s="321"/>
      <c r="K30" s="321"/>
      <c r="L30" s="322"/>
      <c r="M30" s="322"/>
      <c r="N30" s="322"/>
      <c r="O30" s="322"/>
      <c r="P30" s="322"/>
      <c r="Q30" s="322"/>
      <c r="R30" s="326">
        <f t="shared" si="2"/>
        <v>0</v>
      </c>
      <c r="S30" s="321"/>
      <c r="T30" s="326">
        <f t="shared" si="3"/>
        <v>0</v>
      </c>
      <c r="U30" s="327" t="str">
        <f t="shared" si="5"/>
        <v/>
      </c>
      <c r="V30" s="329"/>
    </row>
    <row r="31" ht="13.5" hidden="1" customHeight="1" outlineLevel="1" spans="2:22">
      <c r="B31" s="252">
        <v>26</v>
      </c>
      <c r="C31" s="318"/>
      <c r="D31" s="319"/>
      <c r="E31" s="320" t="str">
        <f t="shared" si="1"/>
        <v/>
      </c>
      <c r="F31" s="321"/>
      <c r="G31" s="321"/>
      <c r="H31" s="321"/>
      <c r="I31" s="321"/>
      <c r="J31" s="321"/>
      <c r="K31" s="321"/>
      <c r="L31" s="322"/>
      <c r="M31" s="322"/>
      <c r="N31" s="322"/>
      <c r="O31" s="322"/>
      <c r="P31" s="322"/>
      <c r="Q31" s="322"/>
      <c r="R31" s="326">
        <f t="shared" si="2"/>
        <v>0</v>
      </c>
      <c r="S31" s="321"/>
      <c r="T31" s="326">
        <f t="shared" si="3"/>
        <v>0</v>
      </c>
      <c r="U31" s="327" t="str">
        <f t="shared" si="5"/>
        <v/>
      </c>
      <c r="V31" s="329"/>
    </row>
    <row r="32" ht="13.5" hidden="1" customHeight="1" outlineLevel="1" spans="2:22">
      <c r="B32" s="252">
        <v>27</v>
      </c>
      <c r="C32" s="318"/>
      <c r="D32" s="319"/>
      <c r="E32" s="320" t="str">
        <f t="shared" si="1"/>
        <v/>
      </c>
      <c r="F32" s="321"/>
      <c r="G32" s="321"/>
      <c r="H32" s="321"/>
      <c r="I32" s="321"/>
      <c r="J32" s="321"/>
      <c r="K32" s="321"/>
      <c r="L32" s="322"/>
      <c r="M32" s="322"/>
      <c r="N32" s="322"/>
      <c r="O32" s="322"/>
      <c r="P32" s="322"/>
      <c r="Q32" s="322"/>
      <c r="R32" s="326">
        <f t="shared" si="2"/>
        <v>0</v>
      </c>
      <c r="S32" s="321"/>
      <c r="T32" s="326">
        <f t="shared" si="3"/>
        <v>0</v>
      </c>
      <c r="U32" s="327" t="str">
        <f t="shared" si="5"/>
        <v/>
      </c>
      <c r="V32" s="329"/>
    </row>
    <row r="33" ht="13.5" hidden="1" customHeight="1" outlineLevel="1" spans="2:22">
      <c r="B33" s="252">
        <v>28</v>
      </c>
      <c r="C33" s="318"/>
      <c r="D33" s="319"/>
      <c r="E33" s="320" t="str">
        <f t="shared" si="1"/>
        <v/>
      </c>
      <c r="F33" s="321"/>
      <c r="G33" s="321"/>
      <c r="H33" s="321"/>
      <c r="I33" s="321"/>
      <c r="J33" s="321"/>
      <c r="K33" s="321"/>
      <c r="L33" s="322"/>
      <c r="M33" s="322"/>
      <c r="N33" s="322"/>
      <c r="O33" s="322"/>
      <c r="P33" s="322"/>
      <c r="Q33" s="322"/>
      <c r="R33" s="326">
        <f t="shared" si="2"/>
        <v>0</v>
      </c>
      <c r="S33" s="321"/>
      <c r="T33" s="326">
        <f t="shared" si="3"/>
        <v>0</v>
      </c>
      <c r="U33" s="327" t="str">
        <f t="shared" si="5"/>
        <v/>
      </c>
      <c r="V33" s="329"/>
    </row>
    <row r="34" ht="13.5" hidden="1" customHeight="1" outlineLevel="1" spans="2:22">
      <c r="B34" s="252">
        <v>29</v>
      </c>
      <c r="C34" s="318"/>
      <c r="D34" s="319"/>
      <c r="E34" s="320" t="str">
        <f t="shared" si="1"/>
        <v/>
      </c>
      <c r="F34" s="321"/>
      <c r="G34" s="321"/>
      <c r="H34" s="321"/>
      <c r="I34" s="321"/>
      <c r="J34" s="321"/>
      <c r="K34" s="321"/>
      <c r="L34" s="322"/>
      <c r="M34" s="322"/>
      <c r="N34" s="322"/>
      <c r="O34" s="322"/>
      <c r="P34" s="322"/>
      <c r="Q34" s="322"/>
      <c r="R34" s="326">
        <f t="shared" si="2"/>
        <v>0</v>
      </c>
      <c r="S34" s="321"/>
      <c r="T34" s="326">
        <f t="shared" si="3"/>
        <v>0</v>
      </c>
      <c r="U34" s="327" t="str">
        <f t="shared" si="5"/>
        <v/>
      </c>
      <c r="V34" s="329"/>
    </row>
    <row r="35" ht="13.5" hidden="1" customHeight="1" outlineLevel="1" spans="2:22">
      <c r="B35" s="252">
        <v>30</v>
      </c>
      <c r="C35" s="318"/>
      <c r="D35" s="319"/>
      <c r="E35" s="320" t="str">
        <f t="shared" si="1"/>
        <v/>
      </c>
      <c r="F35" s="321"/>
      <c r="G35" s="321"/>
      <c r="H35" s="321"/>
      <c r="I35" s="321"/>
      <c r="J35" s="321"/>
      <c r="K35" s="321"/>
      <c r="L35" s="322"/>
      <c r="M35" s="322"/>
      <c r="N35" s="322"/>
      <c r="O35" s="322"/>
      <c r="P35" s="322"/>
      <c r="Q35" s="322"/>
      <c r="R35" s="326">
        <f t="shared" si="2"/>
        <v>0</v>
      </c>
      <c r="S35" s="321"/>
      <c r="T35" s="326">
        <f t="shared" si="3"/>
        <v>0</v>
      </c>
      <c r="U35" s="327" t="str">
        <f t="shared" si="5"/>
        <v/>
      </c>
      <c r="V35" s="329"/>
    </row>
    <row r="36" ht="13.5" hidden="1" customHeight="1" outlineLevel="1" spans="2:22">
      <c r="B36" s="252">
        <v>31</v>
      </c>
      <c r="C36" s="318"/>
      <c r="D36" s="319"/>
      <c r="E36" s="320" t="str">
        <f t="shared" si="1"/>
        <v/>
      </c>
      <c r="F36" s="321"/>
      <c r="G36" s="321"/>
      <c r="H36" s="321"/>
      <c r="I36" s="321"/>
      <c r="J36" s="321"/>
      <c r="K36" s="321"/>
      <c r="L36" s="322"/>
      <c r="M36" s="322"/>
      <c r="N36" s="322"/>
      <c r="O36" s="322"/>
      <c r="P36" s="322"/>
      <c r="Q36" s="322"/>
      <c r="R36" s="326">
        <f t="shared" si="2"/>
        <v>0</v>
      </c>
      <c r="S36" s="321"/>
      <c r="T36" s="326">
        <f t="shared" si="3"/>
        <v>0</v>
      </c>
      <c r="U36" s="327" t="str">
        <f t="shared" si="5"/>
        <v/>
      </c>
      <c r="V36" s="329"/>
    </row>
    <row r="37" ht="13.5" hidden="1" customHeight="1" outlineLevel="1" spans="2:22">
      <c r="B37" s="252">
        <v>32</v>
      </c>
      <c r="C37" s="318"/>
      <c r="D37" s="319"/>
      <c r="E37" s="320" t="str">
        <f t="shared" si="1"/>
        <v/>
      </c>
      <c r="F37" s="321"/>
      <c r="G37" s="321"/>
      <c r="H37" s="321"/>
      <c r="I37" s="321"/>
      <c r="J37" s="321"/>
      <c r="K37" s="321"/>
      <c r="L37" s="322"/>
      <c r="M37" s="322"/>
      <c r="N37" s="322"/>
      <c r="O37" s="322"/>
      <c r="P37" s="322"/>
      <c r="Q37" s="322"/>
      <c r="R37" s="326">
        <f t="shared" si="2"/>
        <v>0</v>
      </c>
      <c r="S37" s="321"/>
      <c r="T37" s="326">
        <f t="shared" si="3"/>
        <v>0</v>
      </c>
      <c r="U37" s="327" t="str">
        <f t="shared" si="5"/>
        <v/>
      </c>
      <c r="V37" s="329"/>
    </row>
    <row r="38" ht="13.5" hidden="1" customHeight="1" outlineLevel="1" spans="2:22">
      <c r="B38" s="252">
        <v>33</v>
      </c>
      <c r="C38" s="318"/>
      <c r="D38" s="319"/>
      <c r="E38" s="320" t="str">
        <f t="shared" si="1"/>
        <v/>
      </c>
      <c r="F38" s="321"/>
      <c r="G38" s="321"/>
      <c r="H38" s="321"/>
      <c r="I38" s="321"/>
      <c r="J38" s="321"/>
      <c r="K38" s="321"/>
      <c r="L38" s="322"/>
      <c r="M38" s="322"/>
      <c r="N38" s="322"/>
      <c r="O38" s="322"/>
      <c r="P38" s="322"/>
      <c r="Q38" s="322"/>
      <c r="R38" s="326">
        <f t="shared" si="2"/>
        <v>0</v>
      </c>
      <c r="S38" s="321"/>
      <c r="T38" s="326">
        <f t="shared" si="3"/>
        <v>0</v>
      </c>
      <c r="U38" s="327" t="str">
        <f t="shared" si="5"/>
        <v/>
      </c>
      <c r="V38" s="329"/>
    </row>
    <row r="39" ht="13.5" hidden="1" customHeight="1" outlineLevel="1" spans="2:22">
      <c r="B39" s="252">
        <v>34</v>
      </c>
      <c r="C39" s="318"/>
      <c r="D39" s="319"/>
      <c r="E39" s="320" t="str">
        <f t="shared" si="1"/>
        <v/>
      </c>
      <c r="F39" s="321"/>
      <c r="G39" s="321"/>
      <c r="H39" s="321"/>
      <c r="I39" s="321"/>
      <c r="J39" s="321"/>
      <c r="K39" s="321"/>
      <c r="L39" s="322"/>
      <c r="M39" s="322"/>
      <c r="N39" s="322"/>
      <c r="O39" s="322"/>
      <c r="P39" s="322"/>
      <c r="Q39" s="322"/>
      <c r="R39" s="326">
        <f t="shared" ref="R39:R70" si="6">SUM(F39:Q39)</f>
        <v>0</v>
      </c>
      <c r="S39" s="321"/>
      <c r="T39" s="326">
        <f t="shared" ref="T39:T70" si="7">R39+S39</f>
        <v>0</v>
      </c>
      <c r="U39" s="327" t="str">
        <f t="shared" si="5"/>
        <v/>
      </c>
      <c r="V39" s="329"/>
    </row>
    <row r="40" ht="13.5" hidden="1" customHeight="1" outlineLevel="1" spans="2:22">
      <c r="B40" s="252">
        <v>35</v>
      </c>
      <c r="C40" s="318"/>
      <c r="D40" s="319"/>
      <c r="E40" s="320" t="str">
        <f t="shared" si="1"/>
        <v/>
      </c>
      <c r="F40" s="321"/>
      <c r="G40" s="321"/>
      <c r="H40" s="321"/>
      <c r="I40" s="321"/>
      <c r="J40" s="321"/>
      <c r="K40" s="321"/>
      <c r="L40" s="322"/>
      <c r="M40" s="322"/>
      <c r="N40" s="322"/>
      <c r="O40" s="322"/>
      <c r="P40" s="322"/>
      <c r="Q40" s="322"/>
      <c r="R40" s="326">
        <f t="shared" si="6"/>
        <v>0</v>
      </c>
      <c r="S40" s="321"/>
      <c r="T40" s="326">
        <f t="shared" si="7"/>
        <v>0</v>
      </c>
      <c r="U40" s="327" t="str">
        <f t="shared" si="5"/>
        <v/>
      </c>
      <c r="V40" s="329"/>
    </row>
    <row r="41" ht="13.5" hidden="1" customHeight="1" outlineLevel="1" spans="2:22">
      <c r="B41" s="252">
        <v>36</v>
      </c>
      <c r="C41" s="318"/>
      <c r="D41" s="319"/>
      <c r="E41" s="320" t="str">
        <f t="shared" si="1"/>
        <v/>
      </c>
      <c r="F41" s="321"/>
      <c r="G41" s="321"/>
      <c r="H41" s="321"/>
      <c r="I41" s="321"/>
      <c r="J41" s="321"/>
      <c r="K41" s="321"/>
      <c r="L41" s="322"/>
      <c r="M41" s="322"/>
      <c r="N41" s="322"/>
      <c r="O41" s="322"/>
      <c r="P41" s="322"/>
      <c r="Q41" s="322"/>
      <c r="R41" s="326">
        <f t="shared" si="6"/>
        <v>0</v>
      </c>
      <c r="S41" s="321"/>
      <c r="T41" s="326">
        <f t="shared" si="7"/>
        <v>0</v>
      </c>
      <c r="U41" s="327" t="str">
        <f t="shared" si="5"/>
        <v/>
      </c>
      <c r="V41" s="329"/>
    </row>
    <row r="42" ht="13.5" hidden="1" customHeight="1" outlineLevel="1" spans="2:22">
      <c r="B42" s="252">
        <v>37</v>
      </c>
      <c r="C42" s="318"/>
      <c r="D42" s="319"/>
      <c r="E42" s="320" t="str">
        <f t="shared" si="1"/>
        <v/>
      </c>
      <c r="F42" s="321"/>
      <c r="G42" s="321"/>
      <c r="H42" s="321"/>
      <c r="I42" s="321"/>
      <c r="J42" s="321"/>
      <c r="K42" s="321"/>
      <c r="L42" s="322"/>
      <c r="M42" s="322"/>
      <c r="N42" s="322"/>
      <c r="O42" s="322"/>
      <c r="P42" s="322"/>
      <c r="Q42" s="322"/>
      <c r="R42" s="326">
        <f t="shared" si="6"/>
        <v>0</v>
      </c>
      <c r="S42" s="321"/>
      <c r="T42" s="326">
        <f t="shared" si="7"/>
        <v>0</v>
      </c>
      <c r="U42" s="327" t="str">
        <f t="shared" si="5"/>
        <v/>
      </c>
      <c r="V42" s="329"/>
    </row>
    <row r="43" ht="13.5" hidden="1" customHeight="1" outlineLevel="1" spans="2:22">
      <c r="B43" s="252">
        <v>38</v>
      </c>
      <c r="C43" s="318"/>
      <c r="D43" s="319"/>
      <c r="E43" s="320" t="str">
        <f t="shared" si="1"/>
        <v/>
      </c>
      <c r="F43" s="321"/>
      <c r="G43" s="321"/>
      <c r="H43" s="321"/>
      <c r="I43" s="321"/>
      <c r="J43" s="321"/>
      <c r="K43" s="321"/>
      <c r="L43" s="322"/>
      <c r="M43" s="322"/>
      <c r="N43" s="322"/>
      <c r="O43" s="322"/>
      <c r="P43" s="322"/>
      <c r="Q43" s="322"/>
      <c r="R43" s="326">
        <f t="shared" si="6"/>
        <v>0</v>
      </c>
      <c r="S43" s="321"/>
      <c r="T43" s="326">
        <f t="shared" si="7"/>
        <v>0</v>
      </c>
      <c r="U43" s="327" t="str">
        <f t="shared" si="5"/>
        <v/>
      </c>
      <c r="V43" s="329"/>
    </row>
    <row r="44" ht="13.5" hidden="1" customHeight="1" outlineLevel="1" spans="2:22">
      <c r="B44" s="252">
        <v>39</v>
      </c>
      <c r="C44" s="318"/>
      <c r="D44" s="319"/>
      <c r="E44" s="320" t="str">
        <f t="shared" si="1"/>
        <v/>
      </c>
      <c r="F44" s="321"/>
      <c r="G44" s="321"/>
      <c r="H44" s="321"/>
      <c r="I44" s="321"/>
      <c r="J44" s="321"/>
      <c r="K44" s="321"/>
      <c r="L44" s="322"/>
      <c r="M44" s="322"/>
      <c r="N44" s="322"/>
      <c r="O44" s="322"/>
      <c r="P44" s="322"/>
      <c r="Q44" s="322"/>
      <c r="R44" s="326">
        <f t="shared" si="6"/>
        <v>0</v>
      </c>
      <c r="S44" s="321"/>
      <c r="T44" s="326">
        <f t="shared" si="7"/>
        <v>0</v>
      </c>
      <c r="U44" s="327" t="str">
        <f t="shared" si="5"/>
        <v/>
      </c>
      <c r="V44" s="329"/>
    </row>
    <row r="45" ht="13.5" hidden="1" customHeight="1" outlineLevel="1" spans="2:22">
      <c r="B45" s="252">
        <v>40</v>
      </c>
      <c r="C45" s="318"/>
      <c r="D45" s="319"/>
      <c r="E45" s="320" t="str">
        <f t="shared" si="1"/>
        <v/>
      </c>
      <c r="F45" s="321"/>
      <c r="G45" s="321"/>
      <c r="H45" s="321"/>
      <c r="I45" s="321"/>
      <c r="J45" s="321"/>
      <c r="K45" s="321"/>
      <c r="L45" s="322"/>
      <c r="M45" s="322"/>
      <c r="N45" s="322"/>
      <c r="O45" s="322"/>
      <c r="P45" s="322"/>
      <c r="Q45" s="322"/>
      <c r="R45" s="326">
        <f t="shared" si="6"/>
        <v>0</v>
      </c>
      <c r="S45" s="321"/>
      <c r="T45" s="326">
        <f t="shared" si="7"/>
        <v>0</v>
      </c>
      <c r="U45" s="327" t="str">
        <f t="shared" si="5"/>
        <v/>
      </c>
      <c r="V45" s="329"/>
    </row>
    <row r="46" ht="13.5" hidden="1" customHeight="1" outlineLevel="1" spans="2:22">
      <c r="B46" s="252">
        <v>41</v>
      </c>
      <c r="C46" s="318"/>
      <c r="D46" s="319"/>
      <c r="E46" s="320" t="str">
        <f t="shared" si="1"/>
        <v/>
      </c>
      <c r="F46" s="321"/>
      <c r="G46" s="321"/>
      <c r="H46" s="321"/>
      <c r="I46" s="321"/>
      <c r="J46" s="321"/>
      <c r="K46" s="321"/>
      <c r="L46" s="322"/>
      <c r="M46" s="322"/>
      <c r="N46" s="322"/>
      <c r="O46" s="322"/>
      <c r="P46" s="322"/>
      <c r="Q46" s="322"/>
      <c r="R46" s="326">
        <f t="shared" si="6"/>
        <v>0</v>
      </c>
      <c r="S46" s="321"/>
      <c r="T46" s="326">
        <f t="shared" si="7"/>
        <v>0</v>
      </c>
      <c r="U46" s="327" t="str">
        <f t="shared" si="5"/>
        <v/>
      </c>
      <c r="V46" s="329"/>
    </row>
    <row r="47" ht="13.5" hidden="1" customHeight="1" outlineLevel="1" spans="2:22">
      <c r="B47" s="252">
        <v>42</v>
      </c>
      <c r="C47" s="318"/>
      <c r="D47" s="319"/>
      <c r="E47" s="320" t="str">
        <f t="shared" si="1"/>
        <v/>
      </c>
      <c r="F47" s="321"/>
      <c r="G47" s="321"/>
      <c r="H47" s="321"/>
      <c r="I47" s="321"/>
      <c r="J47" s="321"/>
      <c r="K47" s="321"/>
      <c r="L47" s="322"/>
      <c r="M47" s="322"/>
      <c r="N47" s="322"/>
      <c r="O47" s="322"/>
      <c r="P47" s="322"/>
      <c r="Q47" s="322"/>
      <c r="R47" s="326">
        <f t="shared" si="6"/>
        <v>0</v>
      </c>
      <c r="S47" s="321"/>
      <c r="T47" s="326">
        <f t="shared" si="7"/>
        <v>0</v>
      </c>
      <c r="U47" s="327" t="str">
        <f t="shared" si="5"/>
        <v/>
      </c>
      <c r="V47" s="329"/>
    </row>
    <row r="48" ht="13.5" hidden="1" customHeight="1" outlineLevel="1" spans="2:22">
      <c r="B48" s="252">
        <v>43</v>
      </c>
      <c r="C48" s="318"/>
      <c r="D48" s="319"/>
      <c r="E48" s="320" t="str">
        <f t="shared" si="1"/>
        <v/>
      </c>
      <c r="F48" s="321"/>
      <c r="G48" s="321"/>
      <c r="H48" s="321"/>
      <c r="I48" s="321"/>
      <c r="J48" s="321"/>
      <c r="K48" s="321"/>
      <c r="L48" s="322"/>
      <c r="M48" s="322"/>
      <c r="N48" s="322"/>
      <c r="O48" s="322"/>
      <c r="P48" s="322"/>
      <c r="Q48" s="322"/>
      <c r="R48" s="326">
        <f t="shared" si="6"/>
        <v>0</v>
      </c>
      <c r="S48" s="321"/>
      <c r="T48" s="326">
        <f t="shared" si="7"/>
        <v>0</v>
      </c>
      <c r="U48" s="327" t="str">
        <f t="shared" si="5"/>
        <v/>
      </c>
      <c r="V48" s="329"/>
    </row>
    <row r="49" ht="13.5" hidden="1" customHeight="1" outlineLevel="1" spans="2:22">
      <c r="B49" s="252">
        <v>44</v>
      </c>
      <c r="C49" s="318"/>
      <c r="D49" s="319"/>
      <c r="E49" s="320" t="str">
        <f t="shared" si="1"/>
        <v/>
      </c>
      <c r="F49" s="321"/>
      <c r="G49" s="321"/>
      <c r="H49" s="321"/>
      <c r="I49" s="321"/>
      <c r="J49" s="321"/>
      <c r="K49" s="321"/>
      <c r="L49" s="322"/>
      <c r="M49" s="322"/>
      <c r="N49" s="322"/>
      <c r="O49" s="322"/>
      <c r="P49" s="322"/>
      <c r="Q49" s="322"/>
      <c r="R49" s="326">
        <f t="shared" si="6"/>
        <v>0</v>
      </c>
      <c r="S49" s="321"/>
      <c r="T49" s="326">
        <f t="shared" si="7"/>
        <v>0</v>
      </c>
      <c r="U49" s="327" t="str">
        <f t="shared" si="5"/>
        <v/>
      </c>
      <c r="V49" s="329"/>
    </row>
    <row r="50" ht="13.5" hidden="1" customHeight="1" outlineLevel="1" spans="2:22">
      <c r="B50" s="252">
        <v>45</v>
      </c>
      <c r="C50" s="318"/>
      <c r="D50" s="319"/>
      <c r="E50" s="320" t="str">
        <f t="shared" si="1"/>
        <v/>
      </c>
      <c r="F50" s="321"/>
      <c r="G50" s="321"/>
      <c r="H50" s="321"/>
      <c r="I50" s="321"/>
      <c r="J50" s="321"/>
      <c r="K50" s="321"/>
      <c r="L50" s="322"/>
      <c r="M50" s="322"/>
      <c r="N50" s="322"/>
      <c r="O50" s="322"/>
      <c r="P50" s="322"/>
      <c r="Q50" s="322"/>
      <c r="R50" s="326">
        <f t="shared" si="6"/>
        <v>0</v>
      </c>
      <c r="S50" s="321"/>
      <c r="T50" s="326">
        <f t="shared" si="7"/>
        <v>0</v>
      </c>
      <c r="U50" s="327" t="str">
        <f t="shared" si="5"/>
        <v/>
      </c>
      <c r="V50" s="329"/>
    </row>
    <row r="51" ht="13.5" hidden="1" customHeight="1" outlineLevel="1" spans="2:22">
      <c r="B51" s="252">
        <v>46</v>
      </c>
      <c r="C51" s="318"/>
      <c r="D51" s="319"/>
      <c r="E51" s="320" t="str">
        <f t="shared" si="1"/>
        <v/>
      </c>
      <c r="F51" s="321"/>
      <c r="G51" s="321"/>
      <c r="H51" s="321"/>
      <c r="I51" s="321"/>
      <c r="J51" s="321"/>
      <c r="K51" s="321"/>
      <c r="L51" s="322"/>
      <c r="M51" s="322"/>
      <c r="N51" s="322"/>
      <c r="O51" s="322"/>
      <c r="P51" s="322"/>
      <c r="Q51" s="322"/>
      <c r="R51" s="326">
        <f t="shared" si="6"/>
        <v>0</v>
      </c>
      <c r="S51" s="321"/>
      <c r="T51" s="326">
        <f t="shared" si="7"/>
        <v>0</v>
      </c>
      <c r="U51" s="327" t="str">
        <f t="shared" si="5"/>
        <v/>
      </c>
      <c r="V51" s="329"/>
    </row>
    <row r="52" ht="13.5" hidden="1" customHeight="1" outlineLevel="1" spans="2:22">
      <c r="B52" s="252">
        <v>47</v>
      </c>
      <c r="C52" s="318"/>
      <c r="D52" s="319"/>
      <c r="E52" s="320" t="str">
        <f t="shared" si="1"/>
        <v/>
      </c>
      <c r="F52" s="321"/>
      <c r="G52" s="321"/>
      <c r="H52" s="321"/>
      <c r="I52" s="321"/>
      <c r="J52" s="321"/>
      <c r="K52" s="321"/>
      <c r="L52" s="322"/>
      <c r="M52" s="322"/>
      <c r="N52" s="322"/>
      <c r="O52" s="322"/>
      <c r="P52" s="322"/>
      <c r="Q52" s="322"/>
      <c r="R52" s="326">
        <f t="shared" si="6"/>
        <v>0</v>
      </c>
      <c r="S52" s="321"/>
      <c r="T52" s="326">
        <f t="shared" si="7"/>
        <v>0</v>
      </c>
      <c r="U52" s="327" t="str">
        <f t="shared" si="5"/>
        <v/>
      </c>
      <c r="V52" s="329"/>
    </row>
    <row r="53" ht="13.5" hidden="1" customHeight="1" outlineLevel="1" spans="2:22">
      <c r="B53" s="252">
        <v>48</v>
      </c>
      <c r="C53" s="318"/>
      <c r="D53" s="319"/>
      <c r="E53" s="320" t="str">
        <f t="shared" si="1"/>
        <v/>
      </c>
      <c r="F53" s="321"/>
      <c r="G53" s="321"/>
      <c r="H53" s="321"/>
      <c r="I53" s="321"/>
      <c r="J53" s="321"/>
      <c r="K53" s="321"/>
      <c r="L53" s="322"/>
      <c r="M53" s="322"/>
      <c r="N53" s="322"/>
      <c r="O53" s="322"/>
      <c r="P53" s="322"/>
      <c r="Q53" s="322"/>
      <c r="R53" s="326">
        <f t="shared" si="6"/>
        <v>0</v>
      </c>
      <c r="S53" s="321"/>
      <c r="T53" s="326">
        <f t="shared" si="7"/>
        <v>0</v>
      </c>
      <c r="U53" s="327" t="str">
        <f t="shared" si="5"/>
        <v/>
      </c>
      <c r="V53" s="329"/>
    </row>
    <row r="54" ht="13.5" hidden="1" customHeight="1" outlineLevel="1" spans="2:22">
      <c r="B54" s="252">
        <v>49</v>
      </c>
      <c r="C54" s="318"/>
      <c r="D54" s="319"/>
      <c r="E54" s="320" t="str">
        <f t="shared" si="1"/>
        <v/>
      </c>
      <c r="F54" s="321"/>
      <c r="G54" s="321"/>
      <c r="H54" s="321"/>
      <c r="I54" s="321"/>
      <c r="J54" s="321"/>
      <c r="K54" s="321"/>
      <c r="L54" s="322"/>
      <c r="M54" s="322"/>
      <c r="N54" s="322"/>
      <c r="O54" s="322"/>
      <c r="P54" s="322"/>
      <c r="Q54" s="322"/>
      <c r="R54" s="326">
        <f t="shared" si="6"/>
        <v>0</v>
      </c>
      <c r="S54" s="321"/>
      <c r="T54" s="326">
        <f t="shared" si="7"/>
        <v>0</v>
      </c>
      <c r="U54" s="327" t="str">
        <f t="shared" si="5"/>
        <v/>
      </c>
      <c r="V54" s="329"/>
    </row>
    <row r="55" ht="13.5" hidden="1" customHeight="1" outlineLevel="1" spans="2:22">
      <c r="B55" s="252">
        <v>50</v>
      </c>
      <c r="C55" s="318"/>
      <c r="D55" s="319"/>
      <c r="E55" s="320" t="str">
        <f t="shared" si="1"/>
        <v/>
      </c>
      <c r="F55" s="321"/>
      <c r="G55" s="321"/>
      <c r="H55" s="321"/>
      <c r="I55" s="321"/>
      <c r="J55" s="321"/>
      <c r="K55" s="321"/>
      <c r="L55" s="322"/>
      <c r="M55" s="322"/>
      <c r="N55" s="322"/>
      <c r="O55" s="322"/>
      <c r="P55" s="322"/>
      <c r="Q55" s="322"/>
      <c r="R55" s="326">
        <f t="shared" si="6"/>
        <v>0</v>
      </c>
      <c r="S55" s="321"/>
      <c r="T55" s="326">
        <f t="shared" si="7"/>
        <v>0</v>
      </c>
      <c r="U55" s="327" t="str">
        <f t="shared" si="5"/>
        <v/>
      </c>
      <c r="V55" s="329"/>
    </row>
    <row r="56" ht="13.5" hidden="1" customHeight="1" outlineLevel="1" spans="2:22">
      <c r="B56" s="252">
        <v>51</v>
      </c>
      <c r="C56" s="318"/>
      <c r="D56" s="319"/>
      <c r="E56" s="320" t="str">
        <f t="shared" si="1"/>
        <v/>
      </c>
      <c r="F56" s="321"/>
      <c r="G56" s="321"/>
      <c r="H56" s="321"/>
      <c r="I56" s="321"/>
      <c r="J56" s="321"/>
      <c r="K56" s="321"/>
      <c r="L56" s="322"/>
      <c r="M56" s="322"/>
      <c r="N56" s="322"/>
      <c r="O56" s="322"/>
      <c r="P56" s="322"/>
      <c r="Q56" s="322"/>
      <c r="R56" s="326">
        <f t="shared" si="6"/>
        <v>0</v>
      </c>
      <c r="S56" s="321"/>
      <c r="T56" s="326">
        <f t="shared" si="7"/>
        <v>0</v>
      </c>
      <c r="U56" s="327" t="str">
        <f t="shared" ref="U56:U87" si="8">IF(T56=0,"",T56/$T$5)</f>
        <v/>
      </c>
      <c r="V56" s="329"/>
    </row>
    <row r="57" ht="13.5" hidden="1" customHeight="1" outlineLevel="1" spans="2:22">
      <c r="B57" s="252">
        <v>52</v>
      </c>
      <c r="C57" s="318"/>
      <c r="D57" s="319"/>
      <c r="E57" s="320" t="str">
        <f t="shared" si="1"/>
        <v/>
      </c>
      <c r="F57" s="321"/>
      <c r="G57" s="321"/>
      <c r="H57" s="321"/>
      <c r="I57" s="321"/>
      <c r="J57" s="321"/>
      <c r="K57" s="321"/>
      <c r="L57" s="322"/>
      <c r="M57" s="322"/>
      <c r="N57" s="322"/>
      <c r="O57" s="322"/>
      <c r="P57" s="322"/>
      <c r="Q57" s="322"/>
      <c r="R57" s="326">
        <f t="shared" si="6"/>
        <v>0</v>
      </c>
      <c r="S57" s="321"/>
      <c r="T57" s="326">
        <f t="shared" si="7"/>
        <v>0</v>
      </c>
      <c r="U57" s="327" t="str">
        <f t="shared" si="8"/>
        <v/>
      </c>
      <c r="V57" s="329"/>
    </row>
    <row r="58" ht="13.5" hidden="1" customHeight="1" outlineLevel="1" spans="2:22">
      <c r="B58" s="252">
        <v>53</v>
      </c>
      <c r="C58" s="318"/>
      <c r="D58" s="319"/>
      <c r="E58" s="320" t="str">
        <f t="shared" si="1"/>
        <v/>
      </c>
      <c r="F58" s="321"/>
      <c r="G58" s="321"/>
      <c r="H58" s="321"/>
      <c r="I58" s="321"/>
      <c r="J58" s="321"/>
      <c r="K58" s="321"/>
      <c r="L58" s="322"/>
      <c r="M58" s="322"/>
      <c r="N58" s="322"/>
      <c r="O58" s="322"/>
      <c r="P58" s="322"/>
      <c r="Q58" s="322"/>
      <c r="R58" s="326">
        <f t="shared" si="6"/>
        <v>0</v>
      </c>
      <c r="S58" s="321"/>
      <c r="T58" s="326">
        <f t="shared" si="7"/>
        <v>0</v>
      </c>
      <c r="U58" s="327" t="str">
        <f t="shared" si="8"/>
        <v/>
      </c>
      <c r="V58" s="329"/>
    </row>
    <row r="59" ht="13.5" hidden="1" customHeight="1" outlineLevel="1" spans="2:22">
      <c r="B59" s="252">
        <v>54</v>
      </c>
      <c r="C59" s="318"/>
      <c r="D59" s="319"/>
      <c r="E59" s="320" t="str">
        <f t="shared" si="1"/>
        <v/>
      </c>
      <c r="F59" s="321"/>
      <c r="G59" s="321"/>
      <c r="H59" s="321"/>
      <c r="I59" s="321"/>
      <c r="J59" s="321"/>
      <c r="K59" s="321"/>
      <c r="L59" s="322"/>
      <c r="M59" s="322"/>
      <c r="N59" s="322"/>
      <c r="O59" s="322"/>
      <c r="P59" s="322"/>
      <c r="Q59" s="322"/>
      <c r="R59" s="326">
        <f t="shared" si="6"/>
        <v>0</v>
      </c>
      <c r="S59" s="321"/>
      <c r="T59" s="326">
        <f t="shared" si="7"/>
        <v>0</v>
      </c>
      <c r="U59" s="327" t="str">
        <f t="shared" si="8"/>
        <v/>
      </c>
      <c r="V59" s="329"/>
    </row>
    <row r="60" ht="13.5" hidden="1" customHeight="1" outlineLevel="1" spans="2:22">
      <c r="B60" s="252">
        <v>55</v>
      </c>
      <c r="C60" s="318"/>
      <c r="D60" s="319"/>
      <c r="E60" s="320" t="str">
        <f t="shared" si="1"/>
        <v/>
      </c>
      <c r="F60" s="321"/>
      <c r="G60" s="321"/>
      <c r="H60" s="321"/>
      <c r="I60" s="321"/>
      <c r="J60" s="321"/>
      <c r="K60" s="321"/>
      <c r="L60" s="322"/>
      <c r="M60" s="322"/>
      <c r="N60" s="322"/>
      <c r="O60" s="322"/>
      <c r="P60" s="322"/>
      <c r="Q60" s="322"/>
      <c r="R60" s="326">
        <f t="shared" si="6"/>
        <v>0</v>
      </c>
      <c r="S60" s="321"/>
      <c r="T60" s="326">
        <f t="shared" si="7"/>
        <v>0</v>
      </c>
      <c r="U60" s="327" t="str">
        <f t="shared" si="8"/>
        <v/>
      </c>
      <c r="V60" s="329"/>
    </row>
    <row r="61" ht="13.5" hidden="1" customHeight="1" outlineLevel="1" spans="2:22">
      <c r="B61" s="252">
        <v>56</v>
      </c>
      <c r="C61" s="318"/>
      <c r="D61" s="319"/>
      <c r="E61" s="320" t="str">
        <f t="shared" si="1"/>
        <v/>
      </c>
      <c r="F61" s="321"/>
      <c r="G61" s="321"/>
      <c r="H61" s="321"/>
      <c r="I61" s="321"/>
      <c r="J61" s="321"/>
      <c r="K61" s="321"/>
      <c r="L61" s="322"/>
      <c r="M61" s="322"/>
      <c r="N61" s="322"/>
      <c r="O61" s="322"/>
      <c r="P61" s="322"/>
      <c r="Q61" s="322"/>
      <c r="R61" s="326">
        <f t="shared" si="6"/>
        <v>0</v>
      </c>
      <c r="S61" s="321"/>
      <c r="T61" s="326">
        <f t="shared" si="7"/>
        <v>0</v>
      </c>
      <c r="U61" s="327" t="str">
        <f t="shared" si="8"/>
        <v/>
      </c>
      <c r="V61" s="329"/>
    </row>
    <row r="62" ht="13.5" hidden="1" customHeight="1" outlineLevel="1" spans="2:22">
      <c r="B62" s="252">
        <v>57</v>
      </c>
      <c r="C62" s="318"/>
      <c r="D62" s="319"/>
      <c r="E62" s="320" t="str">
        <f t="shared" si="1"/>
        <v/>
      </c>
      <c r="F62" s="321"/>
      <c r="G62" s="321"/>
      <c r="H62" s="321"/>
      <c r="I62" s="321"/>
      <c r="J62" s="321"/>
      <c r="K62" s="321"/>
      <c r="L62" s="322"/>
      <c r="M62" s="322"/>
      <c r="N62" s="322"/>
      <c r="O62" s="322"/>
      <c r="P62" s="322"/>
      <c r="Q62" s="322"/>
      <c r="R62" s="326">
        <f t="shared" si="6"/>
        <v>0</v>
      </c>
      <c r="S62" s="321"/>
      <c r="T62" s="326">
        <f t="shared" si="7"/>
        <v>0</v>
      </c>
      <c r="U62" s="327" t="str">
        <f t="shared" si="8"/>
        <v/>
      </c>
      <c r="V62" s="329"/>
    </row>
    <row r="63" ht="13.5" hidden="1" customHeight="1" outlineLevel="1" spans="2:22">
      <c r="B63" s="252">
        <v>58</v>
      </c>
      <c r="C63" s="318"/>
      <c r="D63" s="319"/>
      <c r="E63" s="320" t="str">
        <f t="shared" si="1"/>
        <v/>
      </c>
      <c r="F63" s="321"/>
      <c r="G63" s="321"/>
      <c r="H63" s="321"/>
      <c r="I63" s="321"/>
      <c r="J63" s="321"/>
      <c r="K63" s="321"/>
      <c r="L63" s="322"/>
      <c r="M63" s="322"/>
      <c r="N63" s="322"/>
      <c r="O63" s="322"/>
      <c r="P63" s="322"/>
      <c r="Q63" s="322"/>
      <c r="R63" s="326">
        <f t="shared" si="6"/>
        <v>0</v>
      </c>
      <c r="S63" s="321"/>
      <c r="T63" s="326">
        <f t="shared" si="7"/>
        <v>0</v>
      </c>
      <c r="U63" s="327" t="str">
        <f t="shared" si="8"/>
        <v/>
      </c>
      <c r="V63" s="329"/>
    </row>
    <row r="64" ht="13.5" hidden="1" customHeight="1" outlineLevel="1" spans="2:22">
      <c r="B64" s="252">
        <v>59</v>
      </c>
      <c r="C64" s="318"/>
      <c r="D64" s="319"/>
      <c r="E64" s="320" t="str">
        <f t="shared" si="1"/>
        <v/>
      </c>
      <c r="F64" s="321"/>
      <c r="G64" s="321"/>
      <c r="H64" s="321"/>
      <c r="I64" s="321"/>
      <c r="J64" s="321"/>
      <c r="K64" s="321"/>
      <c r="L64" s="322"/>
      <c r="M64" s="322"/>
      <c r="N64" s="322"/>
      <c r="O64" s="322"/>
      <c r="P64" s="322"/>
      <c r="Q64" s="322"/>
      <c r="R64" s="326">
        <f t="shared" si="6"/>
        <v>0</v>
      </c>
      <c r="S64" s="321"/>
      <c r="T64" s="326">
        <f t="shared" si="7"/>
        <v>0</v>
      </c>
      <c r="U64" s="327" t="str">
        <f t="shared" si="8"/>
        <v/>
      </c>
      <c r="V64" s="329"/>
    </row>
    <row r="65" ht="13.5" hidden="1" customHeight="1" outlineLevel="1" spans="2:22">
      <c r="B65" s="252">
        <v>60</v>
      </c>
      <c r="C65" s="318"/>
      <c r="D65" s="319"/>
      <c r="E65" s="320" t="str">
        <f t="shared" si="1"/>
        <v/>
      </c>
      <c r="F65" s="321"/>
      <c r="G65" s="321"/>
      <c r="H65" s="321"/>
      <c r="I65" s="321"/>
      <c r="J65" s="321"/>
      <c r="K65" s="321"/>
      <c r="L65" s="322"/>
      <c r="M65" s="322"/>
      <c r="N65" s="322"/>
      <c r="O65" s="322"/>
      <c r="P65" s="322"/>
      <c r="Q65" s="322"/>
      <c r="R65" s="326">
        <f t="shared" si="6"/>
        <v>0</v>
      </c>
      <c r="S65" s="321"/>
      <c r="T65" s="326">
        <f t="shared" si="7"/>
        <v>0</v>
      </c>
      <c r="U65" s="327" t="str">
        <f t="shared" si="8"/>
        <v/>
      </c>
      <c r="V65" s="329"/>
    </row>
    <row r="66" ht="13.5" hidden="1" customHeight="1" outlineLevel="1" spans="2:22">
      <c r="B66" s="252">
        <v>61</v>
      </c>
      <c r="C66" s="318"/>
      <c r="D66" s="319"/>
      <c r="E66" s="320" t="str">
        <f t="shared" si="1"/>
        <v/>
      </c>
      <c r="F66" s="321"/>
      <c r="G66" s="321"/>
      <c r="H66" s="321"/>
      <c r="I66" s="321"/>
      <c r="J66" s="321"/>
      <c r="K66" s="321"/>
      <c r="L66" s="322"/>
      <c r="M66" s="322"/>
      <c r="N66" s="322"/>
      <c r="O66" s="322"/>
      <c r="P66" s="322"/>
      <c r="Q66" s="322"/>
      <c r="R66" s="326">
        <f t="shared" si="6"/>
        <v>0</v>
      </c>
      <c r="S66" s="321"/>
      <c r="T66" s="326">
        <f t="shared" si="7"/>
        <v>0</v>
      </c>
      <c r="U66" s="327" t="str">
        <f t="shared" si="8"/>
        <v/>
      </c>
      <c r="V66" s="329"/>
    </row>
    <row r="67" ht="13.5" hidden="1" customHeight="1" outlineLevel="1" spans="2:22">
      <c r="B67" s="252">
        <v>62</v>
      </c>
      <c r="C67" s="318"/>
      <c r="D67" s="319"/>
      <c r="E67" s="320" t="str">
        <f t="shared" si="1"/>
        <v/>
      </c>
      <c r="F67" s="321"/>
      <c r="G67" s="321"/>
      <c r="H67" s="321"/>
      <c r="I67" s="321"/>
      <c r="J67" s="321"/>
      <c r="K67" s="321"/>
      <c r="L67" s="322"/>
      <c r="M67" s="322"/>
      <c r="N67" s="322"/>
      <c r="O67" s="322"/>
      <c r="P67" s="322"/>
      <c r="Q67" s="322"/>
      <c r="R67" s="326">
        <f t="shared" si="6"/>
        <v>0</v>
      </c>
      <c r="S67" s="321"/>
      <c r="T67" s="326">
        <f t="shared" si="7"/>
        <v>0</v>
      </c>
      <c r="U67" s="327" t="str">
        <f t="shared" si="8"/>
        <v/>
      </c>
      <c r="V67" s="329"/>
    </row>
    <row r="68" ht="13.5" hidden="1" customHeight="1" outlineLevel="1" spans="2:22">
      <c r="B68" s="252">
        <v>63</v>
      </c>
      <c r="C68" s="318"/>
      <c r="D68" s="319"/>
      <c r="E68" s="320" t="str">
        <f t="shared" si="1"/>
        <v/>
      </c>
      <c r="F68" s="321"/>
      <c r="G68" s="321"/>
      <c r="H68" s="321"/>
      <c r="I68" s="321"/>
      <c r="J68" s="321"/>
      <c r="K68" s="321"/>
      <c r="L68" s="322"/>
      <c r="M68" s="322"/>
      <c r="N68" s="322"/>
      <c r="O68" s="322"/>
      <c r="P68" s="322"/>
      <c r="Q68" s="322"/>
      <c r="R68" s="326">
        <f t="shared" si="6"/>
        <v>0</v>
      </c>
      <c r="S68" s="321"/>
      <c r="T68" s="326">
        <f t="shared" si="7"/>
        <v>0</v>
      </c>
      <c r="U68" s="327" t="str">
        <f t="shared" si="8"/>
        <v/>
      </c>
      <c r="V68" s="329"/>
    </row>
    <row r="69" ht="13.5" hidden="1" customHeight="1" outlineLevel="1" spans="2:22">
      <c r="B69" s="252">
        <v>64</v>
      </c>
      <c r="C69" s="318"/>
      <c r="D69" s="319"/>
      <c r="E69" s="320" t="str">
        <f t="shared" si="1"/>
        <v/>
      </c>
      <c r="F69" s="321"/>
      <c r="G69" s="321"/>
      <c r="H69" s="321"/>
      <c r="I69" s="321"/>
      <c r="J69" s="321"/>
      <c r="K69" s="321"/>
      <c r="L69" s="322"/>
      <c r="M69" s="322"/>
      <c r="N69" s="322"/>
      <c r="O69" s="322"/>
      <c r="P69" s="322"/>
      <c r="Q69" s="322"/>
      <c r="R69" s="326">
        <f t="shared" si="6"/>
        <v>0</v>
      </c>
      <c r="S69" s="321"/>
      <c r="T69" s="326">
        <f t="shared" si="7"/>
        <v>0</v>
      </c>
      <c r="U69" s="327" t="str">
        <f t="shared" si="8"/>
        <v/>
      </c>
      <c r="V69" s="329"/>
    </row>
    <row r="70" ht="13.5" hidden="1" customHeight="1" outlineLevel="1" spans="2:22">
      <c r="B70" s="252">
        <v>65</v>
      </c>
      <c r="C70" s="318"/>
      <c r="D70" s="319"/>
      <c r="E70" s="320" t="str">
        <f t="shared" si="1"/>
        <v/>
      </c>
      <c r="F70" s="321"/>
      <c r="G70" s="321"/>
      <c r="H70" s="321"/>
      <c r="I70" s="321"/>
      <c r="J70" s="321"/>
      <c r="K70" s="321"/>
      <c r="L70" s="322"/>
      <c r="M70" s="322"/>
      <c r="N70" s="322"/>
      <c r="O70" s="322"/>
      <c r="P70" s="322"/>
      <c r="Q70" s="322"/>
      <c r="R70" s="326">
        <f t="shared" si="6"/>
        <v>0</v>
      </c>
      <c r="S70" s="321"/>
      <c r="T70" s="326">
        <f t="shared" si="7"/>
        <v>0</v>
      </c>
      <c r="U70" s="327" t="str">
        <f t="shared" si="8"/>
        <v/>
      </c>
      <c r="V70" s="329"/>
    </row>
    <row r="71" ht="13.5" hidden="1" customHeight="1" outlineLevel="1" spans="2:22">
      <c r="B71" s="252">
        <v>66</v>
      </c>
      <c r="C71" s="318"/>
      <c r="D71" s="319"/>
      <c r="E71" s="320" t="str">
        <f t="shared" si="1"/>
        <v/>
      </c>
      <c r="F71" s="321"/>
      <c r="G71" s="321"/>
      <c r="H71" s="321"/>
      <c r="I71" s="321"/>
      <c r="J71" s="321"/>
      <c r="K71" s="321"/>
      <c r="L71" s="322"/>
      <c r="M71" s="322"/>
      <c r="N71" s="322"/>
      <c r="O71" s="322"/>
      <c r="P71" s="322"/>
      <c r="Q71" s="322"/>
      <c r="R71" s="326">
        <f t="shared" ref="R71:R118" si="9">SUM(F71:Q71)</f>
        <v>0</v>
      </c>
      <c r="S71" s="321"/>
      <c r="T71" s="326">
        <f t="shared" ref="T71:T118" si="10">R71+S71</f>
        <v>0</v>
      </c>
      <c r="U71" s="327" t="str">
        <f t="shared" si="8"/>
        <v/>
      </c>
      <c r="V71" s="329"/>
    </row>
    <row r="72" ht="13.5" hidden="1" customHeight="1" outlineLevel="1" spans="2:22">
      <c r="B72" s="252">
        <v>67</v>
      </c>
      <c r="C72" s="318"/>
      <c r="D72" s="319"/>
      <c r="E72" s="320" t="str">
        <f t="shared" si="1"/>
        <v/>
      </c>
      <c r="F72" s="321"/>
      <c r="G72" s="321"/>
      <c r="H72" s="321"/>
      <c r="I72" s="321"/>
      <c r="J72" s="321"/>
      <c r="K72" s="321"/>
      <c r="L72" s="322"/>
      <c r="M72" s="322"/>
      <c r="N72" s="322"/>
      <c r="O72" s="322"/>
      <c r="P72" s="322"/>
      <c r="Q72" s="322"/>
      <c r="R72" s="326">
        <f t="shared" si="9"/>
        <v>0</v>
      </c>
      <c r="S72" s="321"/>
      <c r="T72" s="326">
        <f t="shared" si="10"/>
        <v>0</v>
      </c>
      <c r="U72" s="327" t="str">
        <f t="shared" si="8"/>
        <v/>
      </c>
      <c r="V72" s="329"/>
    </row>
    <row r="73" ht="13.5" hidden="1" customHeight="1" outlineLevel="1" spans="2:22">
      <c r="B73" s="252">
        <v>68</v>
      </c>
      <c r="C73" s="318"/>
      <c r="D73" s="319"/>
      <c r="E73" s="320" t="str">
        <f t="shared" si="1"/>
        <v/>
      </c>
      <c r="F73" s="321"/>
      <c r="G73" s="321"/>
      <c r="H73" s="321"/>
      <c r="I73" s="321"/>
      <c r="J73" s="321"/>
      <c r="K73" s="321"/>
      <c r="L73" s="322"/>
      <c r="M73" s="322"/>
      <c r="N73" s="322"/>
      <c r="O73" s="322"/>
      <c r="P73" s="322"/>
      <c r="Q73" s="322"/>
      <c r="R73" s="326">
        <f t="shared" si="9"/>
        <v>0</v>
      </c>
      <c r="S73" s="321"/>
      <c r="T73" s="326">
        <f t="shared" si="10"/>
        <v>0</v>
      </c>
      <c r="U73" s="327" t="str">
        <f t="shared" si="8"/>
        <v/>
      </c>
      <c r="V73" s="329"/>
    </row>
    <row r="74" ht="13.5" hidden="1" customHeight="1" outlineLevel="1" spans="2:22">
      <c r="B74" s="252">
        <v>69</v>
      </c>
      <c r="C74" s="318"/>
      <c r="D74" s="319"/>
      <c r="E74" s="320" t="str">
        <f t="shared" si="1"/>
        <v/>
      </c>
      <c r="F74" s="321"/>
      <c r="G74" s="321"/>
      <c r="H74" s="321"/>
      <c r="I74" s="321"/>
      <c r="J74" s="321"/>
      <c r="K74" s="321"/>
      <c r="L74" s="322"/>
      <c r="M74" s="322"/>
      <c r="N74" s="322"/>
      <c r="O74" s="322"/>
      <c r="P74" s="322"/>
      <c r="Q74" s="322"/>
      <c r="R74" s="326">
        <f t="shared" si="9"/>
        <v>0</v>
      </c>
      <c r="S74" s="321"/>
      <c r="T74" s="326">
        <f t="shared" si="10"/>
        <v>0</v>
      </c>
      <c r="U74" s="327" t="str">
        <f t="shared" si="8"/>
        <v/>
      </c>
      <c r="V74" s="329"/>
    </row>
    <row r="75" ht="13.5" hidden="1" customHeight="1" outlineLevel="1" spans="2:22">
      <c r="B75" s="252">
        <v>70</v>
      </c>
      <c r="C75" s="318"/>
      <c r="D75" s="319"/>
      <c r="E75" s="320" t="str">
        <f t="shared" si="1"/>
        <v/>
      </c>
      <c r="F75" s="321"/>
      <c r="G75" s="321"/>
      <c r="H75" s="321"/>
      <c r="I75" s="321"/>
      <c r="J75" s="321"/>
      <c r="K75" s="321"/>
      <c r="L75" s="322"/>
      <c r="M75" s="322"/>
      <c r="N75" s="322"/>
      <c r="O75" s="322"/>
      <c r="P75" s="322"/>
      <c r="Q75" s="322"/>
      <c r="R75" s="326">
        <f t="shared" si="9"/>
        <v>0</v>
      </c>
      <c r="S75" s="321"/>
      <c r="T75" s="326">
        <f t="shared" si="10"/>
        <v>0</v>
      </c>
      <c r="U75" s="327" t="str">
        <f t="shared" si="8"/>
        <v/>
      </c>
      <c r="V75" s="329"/>
    </row>
    <row r="76" ht="13.5" hidden="1" customHeight="1" outlineLevel="1" spans="2:22">
      <c r="B76" s="252">
        <v>71</v>
      </c>
      <c r="C76" s="318"/>
      <c r="D76" s="319"/>
      <c r="E76" s="320" t="str">
        <f t="shared" si="1"/>
        <v/>
      </c>
      <c r="F76" s="321"/>
      <c r="G76" s="321"/>
      <c r="H76" s="321"/>
      <c r="I76" s="321"/>
      <c r="J76" s="321"/>
      <c r="K76" s="321"/>
      <c r="L76" s="322"/>
      <c r="M76" s="322"/>
      <c r="N76" s="322"/>
      <c r="O76" s="322"/>
      <c r="P76" s="322"/>
      <c r="Q76" s="322"/>
      <c r="R76" s="326">
        <f t="shared" si="9"/>
        <v>0</v>
      </c>
      <c r="S76" s="321"/>
      <c r="T76" s="326">
        <f t="shared" si="10"/>
        <v>0</v>
      </c>
      <c r="U76" s="327" t="str">
        <f t="shared" si="8"/>
        <v/>
      </c>
      <c r="V76" s="329"/>
    </row>
    <row r="77" ht="13.5" hidden="1" customHeight="1" outlineLevel="1" spans="2:22">
      <c r="B77" s="252">
        <v>72</v>
      </c>
      <c r="C77" s="318"/>
      <c r="D77" s="319"/>
      <c r="E77" s="320" t="str">
        <f t="shared" si="1"/>
        <v/>
      </c>
      <c r="F77" s="321"/>
      <c r="G77" s="321"/>
      <c r="H77" s="321"/>
      <c r="I77" s="321"/>
      <c r="J77" s="321"/>
      <c r="K77" s="321"/>
      <c r="L77" s="322"/>
      <c r="M77" s="322"/>
      <c r="N77" s="322"/>
      <c r="O77" s="322"/>
      <c r="P77" s="322"/>
      <c r="Q77" s="322"/>
      <c r="R77" s="326">
        <f t="shared" si="9"/>
        <v>0</v>
      </c>
      <c r="S77" s="321"/>
      <c r="T77" s="326">
        <f t="shared" si="10"/>
        <v>0</v>
      </c>
      <c r="U77" s="327" t="str">
        <f t="shared" si="8"/>
        <v/>
      </c>
      <c r="V77" s="329"/>
    </row>
    <row r="78" ht="13.5" hidden="1" customHeight="1" outlineLevel="1" spans="2:22">
      <c r="B78" s="252">
        <v>73</v>
      </c>
      <c r="C78" s="318"/>
      <c r="D78" s="319"/>
      <c r="E78" s="320" t="str">
        <f t="shared" si="1"/>
        <v/>
      </c>
      <c r="F78" s="321"/>
      <c r="G78" s="321"/>
      <c r="H78" s="321"/>
      <c r="I78" s="321"/>
      <c r="J78" s="321"/>
      <c r="K78" s="321"/>
      <c r="L78" s="322"/>
      <c r="M78" s="322"/>
      <c r="N78" s="322"/>
      <c r="O78" s="322"/>
      <c r="P78" s="322"/>
      <c r="Q78" s="322"/>
      <c r="R78" s="326">
        <f t="shared" si="9"/>
        <v>0</v>
      </c>
      <c r="S78" s="321"/>
      <c r="T78" s="326">
        <f t="shared" si="10"/>
        <v>0</v>
      </c>
      <c r="U78" s="327" t="str">
        <f t="shared" si="8"/>
        <v/>
      </c>
      <c r="V78" s="329"/>
    </row>
    <row r="79" ht="13.5" hidden="1" customHeight="1" outlineLevel="1" spans="2:22">
      <c r="B79" s="252">
        <v>74</v>
      </c>
      <c r="C79" s="318"/>
      <c r="D79" s="319"/>
      <c r="E79" s="320" t="str">
        <f t="shared" si="1"/>
        <v/>
      </c>
      <c r="F79" s="321"/>
      <c r="G79" s="321"/>
      <c r="H79" s="321"/>
      <c r="I79" s="321"/>
      <c r="J79" s="321"/>
      <c r="K79" s="321"/>
      <c r="L79" s="322"/>
      <c r="M79" s="322"/>
      <c r="N79" s="322"/>
      <c r="O79" s="322"/>
      <c r="P79" s="322"/>
      <c r="Q79" s="322"/>
      <c r="R79" s="326">
        <f t="shared" si="9"/>
        <v>0</v>
      </c>
      <c r="S79" s="321"/>
      <c r="T79" s="326">
        <f t="shared" si="10"/>
        <v>0</v>
      </c>
      <c r="U79" s="327" t="str">
        <f t="shared" si="8"/>
        <v/>
      </c>
      <c r="V79" s="329"/>
    </row>
    <row r="80" ht="13.5" hidden="1" customHeight="1" outlineLevel="1" spans="2:22">
      <c r="B80" s="252">
        <v>75</v>
      </c>
      <c r="C80" s="318"/>
      <c r="D80" s="319"/>
      <c r="E80" s="320" t="str">
        <f t="shared" si="1"/>
        <v/>
      </c>
      <c r="F80" s="321"/>
      <c r="G80" s="321"/>
      <c r="H80" s="321"/>
      <c r="I80" s="321"/>
      <c r="J80" s="321"/>
      <c r="K80" s="321"/>
      <c r="L80" s="322"/>
      <c r="M80" s="322"/>
      <c r="N80" s="322"/>
      <c r="O80" s="322"/>
      <c r="P80" s="322"/>
      <c r="Q80" s="322"/>
      <c r="R80" s="326">
        <f t="shared" si="9"/>
        <v>0</v>
      </c>
      <c r="S80" s="321"/>
      <c r="T80" s="326">
        <f t="shared" si="10"/>
        <v>0</v>
      </c>
      <c r="U80" s="327" t="str">
        <f t="shared" si="8"/>
        <v/>
      </c>
      <c r="V80" s="329"/>
    </row>
    <row r="81" ht="13.5" hidden="1" customHeight="1" outlineLevel="1" spans="2:22">
      <c r="B81" s="252">
        <v>76</v>
      </c>
      <c r="C81" s="318"/>
      <c r="D81" s="319"/>
      <c r="E81" s="320" t="str">
        <f t="shared" si="1"/>
        <v/>
      </c>
      <c r="F81" s="321"/>
      <c r="G81" s="321"/>
      <c r="H81" s="321"/>
      <c r="I81" s="321"/>
      <c r="J81" s="321"/>
      <c r="K81" s="321"/>
      <c r="L81" s="322"/>
      <c r="M81" s="322"/>
      <c r="N81" s="322"/>
      <c r="O81" s="322"/>
      <c r="P81" s="322"/>
      <c r="Q81" s="322"/>
      <c r="R81" s="326">
        <f t="shared" si="9"/>
        <v>0</v>
      </c>
      <c r="S81" s="321"/>
      <c r="T81" s="326">
        <f t="shared" si="10"/>
        <v>0</v>
      </c>
      <c r="U81" s="327" t="str">
        <f t="shared" si="8"/>
        <v/>
      </c>
      <c r="V81" s="329"/>
    </row>
    <row r="82" ht="13.5" hidden="1" customHeight="1" outlineLevel="1" spans="2:22">
      <c r="B82" s="252">
        <v>77</v>
      </c>
      <c r="C82" s="318"/>
      <c r="D82" s="319"/>
      <c r="E82" s="320" t="str">
        <f t="shared" si="1"/>
        <v/>
      </c>
      <c r="F82" s="321"/>
      <c r="G82" s="321"/>
      <c r="H82" s="321"/>
      <c r="I82" s="321"/>
      <c r="J82" s="321"/>
      <c r="K82" s="321"/>
      <c r="L82" s="322"/>
      <c r="M82" s="322"/>
      <c r="N82" s="322"/>
      <c r="O82" s="322"/>
      <c r="P82" s="322"/>
      <c r="Q82" s="322"/>
      <c r="R82" s="326">
        <f t="shared" si="9"/>
        <v>0</v>
      </c>
      <c r="S82" s="321"/>
      <c r="T82" s="326">
        <f t="shared" si="10"/>
        <v>0</v>
      </c>
      <c r="U82" s="327" t="str">
        <f t="shared" si="8"/>
        <v/>
      </c>
      <c r="V82" s="329"/>
    </row>
    <row r="83" ht="13.5" hidden="1" customHeight="1" outlineLevel="1" spans="2:22">
      <c r="B83" s="252">
        <v>78</v>
      </c>
      <c r="C83" s="318"/>
      <c r="D83" s="319"/>
      <c r="E83" s="320" t="str">
        <f t="shared" si="1"/>
        <v/>
      </c>
      <c r="F83" s="321"/>
      <c r="G83" s="321"/>
      <c r="H83" s="321"/>
      <c r="I83" s="321"/>
      <c r="J83" s="321"/>
      <c r="K83" s="321"/>
      <c r="L83" s="322"/>
      <c r="M83" s="322"/>
      <c r="N83" s="322"/>
      <c r="O83" s="322"/>
      <c r="P83" s="322"/>
      <c r="Q83" s="322"/>
      <c r="R83" s="326">
        <f t="shared" si="9"/>
        <v>0</v>
      </c>
      <c r="S83" s="321"/>
      <c r="T83" s="326">
        <f t="shared" si="10"/>
        <v>0</v>
      </c>
      <c r="U83" s="327" t="str">
        <f t="shared" si="8"/>
        <v/>
      </c>
      <c r="V83" s="329"/>
    </row>
    <row r="84" ht="13.5" hidden="1" customHeight="1" outlineLevel="1" spans="2:22">
      <c r="B84" s="252">
        <v>79</v>
      </c>
      <c r="C84" s="318"/>
      <c r="D84" s="319"/>
      <c r="E84" s="320" t="str">
        <f t="shared" si="1"/>
        <v/>
      </c>
      <c r="F84" s="321"/>
      <c r="G84" s="321"/>
      <c r="H84" s="321"/>
      <c r="I84" s="321"/>
      <c r="J84" s="321"/>
      <c r="K84" s="321"/>
      <c r="L84" s="322"/>
      <c r="M84" s="322"/>
      <c r="N84" s="322"/>
      <c r="O84" s="322"/>
      <c r="P84" s="322"/>
      <c r="Q84" s="322"/>
      <c r="R84" s="326">
        <f t="shared" si="9"/>
        <v>0</v>
      </c>
      <c r="S84" s="321"/>
      <c r="T84" s="326">
        <f t="shared" si="10"/>
        <v>0</v>
      </c>
      <c r="U84" s="327" t="str">
        <f t="shared" si="8"/>
        <v/>
      </c>
      <c r="V84" s="329"/>
    </row>
    <row r="85" ht="13.5" hidden="1" customHeight="1" outlineLevel="1" spans="2:22">
      <c r="B85" s="252">
        <v>80</v>
      </c>
      <c r="C85" s="318"/>
      <c r="D85" s="319"/>
      <c r="E85" s="320" t="str">
        <f t="shared" si="1"/>
        <v/>
      </c>
      <c r="F85" s="321"/>
      <c r="G85" s="321"/>
      <c r="H85" s="321"/>
      <c r="I85" s="321"/>
      <c r="J85" s="321"/>
      <c r="K85" s="321"/>
      <c r="L85" s="322"/>
      <c r="M85" s="322"/>
      <c r="N85" s="322"/>
      <c r="O85" s="322"/>
      <c r="P85" s="322"/>
      <c r="Q85" s="322"/>
      <c r="R85" s="326">
        <f t="shared" si="9"/>
        <v>0</v>
      </c>
      <c r="S85" s="321"/>
      <c r="T85" s="326">
        <f t="shared" si="10"/>
        <v>0</v>
      </c>
      <c r="U85" s="327" t="str">
        <f t="shared" si="8"/>
        <v/>
      </c>
      <c r="V85" s="329"/>
    </row>
    <row r="86" ht="13.5" hidden="1" customHeight="1" outlineLevel="1" spans="2:22">
      <c r="B86" s="252">
        <v>81</v>
      </c>
      <c r="C86" s="318"/>
      <c r="D86" s="319"/>
      <c r="E86" s="320" t="str">
        <f t="shared" si="1"/>
        <v/>
      </c>
      <c r="F86" s="321"/>
      <c r="G86" s="321"/>
      <c r="H86" s="321"/>
      <c r="I86" s="321"/>
      <c r="J86" s="321"/>
      <c r="K86" s="321"/>
      <c r="L86" s="322"/>
      <c r="M86" s="322"/>
      <c r="N86" s="322"/>
      <c r="O86" s="322"/>
      <c r="P86" s="322"/>
      <c r="Q86" s="322"/>
      <c r="R86" s="326">
        <f t="shared" si="9"/>
        <v>0</v>
      </c>
      <c r="S86" s="321"/>
      <c r="T86" s="326">
        <f t="shared" si="10"/>
        <v>0</v>
      </c>
      <c r="U86" s="327" t="str">
        <f t="shared" si="8"/>
        <v/>
      </c>
      <c r="V86" s="329"/>
    </row>
    <row r="87" ht="13.5" hidden="1" customHeight="1" outlineLevel="1" spans="2:22">
      <c r="B87" s="252">
        <v>82</v>
      </c>
      <c r="C87" s="318"/>
      <c r="D87" s="319"/>
      <c r="E87" s="320" t="str">
        <f t="shared" si="1"/>
        <v/>
      </c>
      <c r="F87" s="321"/>
      <c r="G87" s="321"/>
      <c r="H87" s="321"/>
      <c r="I87" s="321"/>
      <c r="J87" s="321"/>
      <c r="K87" s="321"/>
      <c r="L87" s="322"/>
      <c r="M87" s="322"/>
      <c r="N87" s="322"/>
      <c r="O87" s="322"/>
      <c r="P87" s="322"/>
      <c r="Q87" s="322"/>
      <c r="R87" s="326">
        <f t="shared" si="9"/>
        <v>0</v>
      </c>
      <c r="S87" s="321"/>
      <c r="T87" s="326">
        <f t="shared" si="10"/>
        <v>0</v>
      </c>
      <c r="U87" s="327" t="str">
        <f t="shared" si="8"/>
        <v/>
      </c>
      <c r="V87" s="329"/>
    </row>
    <row r="88" ht="13.5" hidden="1" customHeight="1" outlineLevel="1" spans="2:22">
      <c r="B88" s="252">
        <v>83</v>
      </c>
      <c r="C88" s="318"/>
      <c r="D88" s="319"/>
      <c r="E88" s="320" t="str">
        <f t="shared" si="1"/>
        <v/>
      </c>
      <c r="F88" s="321"/>
      <c r="G88" s="321"/>
      <c r="H88" s="321"/>
      <c r="I88" s="321"/>
      <c r="J88" s="321"/>
      <c r="K88" s="321"/>
      <c r="L88" s="322"/>
      <c r="M88" s="322"/>
      <c r="N88" s="322"/>
      <c r="O88" s="322"/>
      <c r="P88" s="322"/>
      <c r="Q88" s="322"/>
      <c r="R88" s="326">
        <f t="shared" si="9"/>
        <v>0</v>
      </c>
      <c r="S88" s="321"/>
      <c r="T88" s="326">
        <f t="shared" si="10"/>
        <v>0</v>
      </c>
      <c r="U88" s="327" t="str">
        <f t="shared" ref="U88:U117" si="11">IF(T88=0,"",T88/$T$5)</f>
        <v/>
      </c>
      <c r="V88" s="329"/>
    </row>
    <row r="89" ht="13.5" hidden="1" customHeight="1" outlineLevel="1" spans="2:22">
      <c r="B89" s="252">
        <v>84</v>
      </c>
      <c r="C89" s="318"/>
      <c r="D89" s="319"/>
      <c r="E89" s="320" t="str">
        <f t="shared" si="1"/>
        <v/>
      </c>
      <c r="F89" s="321"/>
      <c r="G89" s="321"/>
      <c r="H89" s="321"/>
      <c r="I89" s="321"/>
      <c r="J89" s="321"/>
      <c r="K89" s="321"/>
      <c r="L89" s="322"/>
      <c r="M89" s="322"/>
      <c r="N89" s="322"/>
      <c r="O89" s="322"/>
      <c r="P89" s="322"/>
      <c r="Q89" s="322"/>
      <c r="R89" s="326">
        <f t="shared" si="9"/>
        <v>0</v>
      </c>
      <c r="S89" s="321"/>
      <c r="T89" s="326">
        <f t="shared" si="10"/>
        <v>0</v>
      </c>
      <c r="U89" s="327" t="str">
        <f t="shared" si="11"/>
        <v/>
      </c>
      <c r="V89" s="329"/>
    </row>
    <row r="90" ht="13.5" hidden="1" customHeight="1" outlineLevel="1" spans="2:22">
      <c r="B90" s="252">
        <v>85</v>
      </c>
      <c r="C90" s="318"/>
      <c r="D90" s="319"/>
      <c r="E90" s="320" t="str">
        <f t="shared" si="1"/>
        <v/>
      </c>
      <c r="F90" s="321"/>
      <c r="G90" s="321"/>
      <c r="H90" s="321"/>
      <c r="I90" s="321"/>
      <c r="J90" s="321"/>
      <c r="K90" s="321"/>
      <c r="L90" s="322"/>
      <c r="M90" s="322"/>
      <c r="N90" s="322"/>
      <c r="O90" s="322"/>
      <c r="P90" s="322"/>
      <c r="Q90" s="322"/>
      <c r="R90" s="326">
        <f t="shared" si="9"/>
        <v>0</v>
      </c>
      <c r="S90" s="321"/>
      <c r="T90" s="326">
        <f t="shared" si="10"/>
        <v>0</v>
      </c>
      <c r="U90" s="327" t="str">
        <f t="shared" si="11"/>
        <v/>
      </c>
      <c r="V90" s="329"/>
    </row>
    <row r="91" ht="13.5" hidden="1" customHeight="1" outlineLevel="1" spans="2:22">
      <c r="B91" s="252">
        <v>86</v>
      </c>
      <c r="C91" s="318"/>
      <c r="D91" s="319"/>
      <c r="E91" s="320" t="str">
        <f t="shared" si="1"/>
        <v/>
      </c>
      <c r="F91" s="321"/>
      <c r="G91" s="321"/>
      <c r="H91" s="321"/>
      <c r="I91" s="321"/>
      <c r="J91" s="321"/>
      <c r="K91" s="321"/>
      <c r="L91" s="322"/>
      <c r="M91" s="322"/>
      <c r="N91" s="322"/>
      <c r="O91" s="322"/>
      <c r="P91" s="322"/>
      <c r="Q91" s="322"/>
      <c r="R91" s="326">
        <f t="shared" si="9"/>
        <v>0</v>
      </c>
      <c r="S91" s="321"/>
      <c r="T91" s="326">
        <f t="shared" si="10"/>
        <v>0</v>
      </c>
      <c r="U91" s="327" t="str">
        <f t="shared" si="11"/>
        <v/>
      </c>
      <c r="V91" s="329"/>
    </row>
    <row r="92" ht="13.5" hidden="1" customHeight="1" outlineLevel="1" spans="2:22">
      <c r="B92" s="252">
        <v>87</v>
      </c>
      <c r="C92" s="318"/>
      <c r="D92" s="319"/>
      <c r="E92" s="320" t="str">
        <f t="shared" si="1"/>
        <v/>
      </c>
      <c r="F92" s="321"/>
      <c r="G92" s="321"/>
      <c r="H92" s="321"/>
      <c r="I92" s="321"/>
      <c r="J92" s="321"/>
      <c r="K92" s="321"/>
      <c r="L92" s="322"/>
      <c r="M92" s="322"/>
      <c r="N92" s="322"/>
      <c r="O92" s="322"/>
      <c r="P92" s="322"/>
      <c r="Q92" s="322"/>
      <c r="R92" s="326">
        <f t="shared" si="9"/>
        <v>0</v>
      </c>
      <c r="S92" s="321"/>
      <c r="T92" s="326">
        <f t="shared" si="10"/>
        <v>0</v>
      </c>
      <c r="U92" s="327" t="str">
        <f t="shared" si="11"/>
        <v/>
      </c>
      <c r="V92" s="329"/>
    </row>
    <row r="93" ht="13.5" hidden="1" customHeight="1" outlineLevel="1" spans="2:22">
      <c r="B93" s="252">
        <v>88</v>
      </c>
      <c r="C93" s="318"/>
      <c r="D93" s="319"/>
      <c r="E93" s="320" t="str">
        <f t="shared" si="1"/>
        <v/>
      </c>
      <c r="F93" s="321"/>
      <c r="G93" s="321"/>
      <c r="H93" s="321"/>
      <c r="I93" s="321"/>
      <c r="J93" s="321"/>
      <c r="K93" s="321"/>
      <c r="L93" s="322"/>
      <c r="M93" s="322"/>
      <c r="N93" s="322"/>
      <c r="O93" s="322"/>
      <c r="P93" s="322"/>
      <c r="Q93" s="322"/>
      <c r="R93" s="326">
        <f t="shared" si="9"/>
        <v>0</v>
      </c>
      <c r="S93" s="321"/>
      <c r="T93" s="326">
        <f t="shared" si="10"/>
        <v>0</v>
      </c>
      <c r="U93" s="327" t="str">
        <f t="shared" si="11"/>
        <v/>
      </c>
      <c r="V93" s="329"/>
    </row>
    <row r="94" ht="13.5" hidden="1" customHeight="1" outlineLevel="1" spans="2:22">
      <c r="B94" s="252">
        <v>89</v>
      </c>
      <c r="C94" s="318"/>
      <c r="D94" s="319"/>
      <c r="E94" s="320" t="str">
        <f t="shared" si="1"/>
        <v/>
      </c>
      <c r="F94" s="321"/>
      <c r="G94" s="321"/>
      <c r="H94" s="321"/>
      <c r="I94" s="321"/>
      <c r="J94" s="321"/>
      <c r="K94" s="321"/>
      <c r="L94" s="322"/>
      <c r="M94" s="322"/>
      <c r="N94" s="322"/>
      <c r="O94" s="322"/>
      <c r="P94" s="322"/>
      <c r="Q94" s="322"/>
      <c r="R94" s="326">
        <f t="shared" si="9"/>
        <v>0</v>
      </c>
      <c r="S94" s="321"/>
      <c r="T94" s="326">
        <f t="shared" si="10"/>
        <v>0</v>
      </c>
      <c r="U94" s="327" t="str">
        <f t="shared" si="11"/>
        <v/>
      </c>
      <c r="V94" s="329"/>
    </row>
    <row r="95" ht="13.5" hidden="1" customHeight="1" outlineLevel="1" spans="2:22">
      <c r="B95" s="252">
        <v>90</v>
      </c>
      <c r="C95" s="318"/>
      <c r="D95" s="319"/>
      <c r="E95" s="320" t="str">
        <f t="shared" si="1"/>
        <v/>
      </c>
      <c r="F95" s="321"/>
      <c r="G95" s="321"/>
      <c r="H95" s="321"/>
      <c r="I95" s="321"/>
      <c r="J95" s="321"/>
      <c r="K95" s="321"/>
      <c r="L95" s="322"/>
      <c r="M95" s="322"/>
      <c r="N95" s="322"/>
      <c r="O95" s="322"/>
      <c r="P95" s="322"/>
      <c r="Q95" s="322"/>
      <c r="R95" s="326">
        <f t="shared" si="9"/>
        <v>0</v>
      </c>
      <c r="S95" s="321"/>
      <c r="T95" s="326">
        <f t="shared" si="10"/>
        <v>0</v>
      </c>
      <c r="U95" s="327" t="str">
        <f t="shared" si="11"/>
        <v/>
      </c>
      <c r="V95" s="329"/>
    </row>
    <row r="96" ht="13.5" hidden="1" customHeight="1" outlineLevel="1" spans="2:22">
      <c r="B96" s="252">
        <v>91</v>
      </c>
      <c r="C96" s="318"/>
      <c r="D96" s="319"/>
      <c r="E96" s="320" t="str">
        <f t="shared" si="1"/>
        <v/>
      </c>
      <c r="F96" s="321"/>
      <c r="G96" s="321"/>
      <c r="H96" s="321"/>
      <c r="I96" s="321"/>
      <c r="J96" s="321"/>
      <c r="K96" s="321"/>
      <c r="L96" s="322"/>
      <c r="M96" s="322"/>
      <c r="N96" s="322"/>
      <c r="O96" s="322"/>
      <c r="P96" s="322"/>
      <c r="Q96" s="322"/>
      <c r="R96" s="326">
        <f t="shared" si="9"/>
        <v>0</v>
      </c>
      <c r="S96" s="321"/>
      <c r="T96" s="326">
        <f t="shared" si="10"/>
        <v>0</v>
      </c>
      <c r="U96" s="327" t="str">
        <f t="shared" si="11"/>
        <v/>
      </c>
      <c r="V96" s="329"/>
    </row>
    <row r="97" ht="13.5" hidden="1" customHeight="1" outlineLevel="1" spans="2:22">
      <c r="B97" s="252">
        <v>92</v>
      </c>
      <c r="C97" s="318"/>
      <c r="D97" s="319"/>
      <c r="E97" s="320" t="str">
        <f t="shared" si="1"/>
        <v/>
      </c>
      <c r="F97" s="321"/>
      <c r="G97" s="321"/>
      <c r="H97" s="321"/>
      <c r="I97" s="321"/>
      <c r="J97" s="321"/>
      <c r="K97" s="321"/>
      <c r="L97" s="322"/>
      <c r="M97" s="322"/>
      <c r="N97" s="322"/>
      <c r="O97" s="322"/>
      <c r="P97" s="322"/>
      <c r="Q97" s="322"/>
      <c r="R97" s="326">
        <f t="shared" si="9"/>
        <v>0</v>
      </c>
      <c r="S97" s="321"/>
      <c r="T97" s="326">
        <f t="shared" si="10"/>
        <v>0</v>
      </c>
      <c r="U97" s="327" t="str">
        <f t="shared" si="11"/>
        <v/>
      </c>
      <c r="V97" s="329"/>
    </row>
    <row r="98" ht="13.5" hidden="1" customHeight="1" outlineLevel="1" spans="2:22">
      <c r="B98" s="252">
        <v>93</v>
      </c>
      <c r="C98" s="318"/>
      <c r="D98" s="319"/>
      <c r="E98" s="320" t="str">
        <f t="shared" si="1"/>
        <v/>
      </c>
      <c r="F98" s="321"/>
      <c r="G98" s="321"/>
      <c r="H98" s="321"/>
      <c r="I98" s="321"/>
      <c r="J98" s="321"/>
      <c r="K98" s="321"/>
      <c r="L98" s="322"/>
      <c r="M98" s="322"/>
      <c r="N98" s="322"/>
      <c r="O98" s="322"/>
      <c r="P98" s="322"/>
      <c r="Q98" s="322"/>
      <c r="R98" s="326">
        <f t="shared" si="9"/>
        <v>0</v>
      </c>
      <c r="S98" s="321"/>
      <c r="T98" s="326">
        <f t="shared" si="10"/>
        <v>0</v>
      </c>
      <c r="U98" s="327" t="str">
        <f t="shared" si="11"/>
        <v/>
      </c>
      <c r="V98" s="329"/>
    </row>
    <row r="99" ht="13.5" hidden="1" customHeight="1" outlineLevel="1" spans="2:22">
      <c r="B99" s="252">
        <v>94</v>
      </c>
      <c r="C99" s="318"/>
      <c r="D99" s="319"/>
      <c r="E99" s="320" t="str">
        <f t="shared" si="1"/>
        <v/>
      </c>
      <c r="F99" s="321"/>
      <c r="G99" s="321"/>
      <c r="H99" s="321"/>
      <c r="I99" s="321"/>
      <c r="J99" s="321"/>
      <c r="K99" s="321"/>
      <c r="L99" s="322"/>
      <c r="M99" s="322"/>
      <c r="N99" s="322"/>
      <c r="O99" s="322"/>
      <c r="P99" s="322"/>
      <c r="Q99" s="322"/>
      <c r="R99" s="326">
        <f t="shared" si="9"/>
        <v>0</v>
      </c>
      <c r="S99" s="321"/>
      <c r="T99" s="326">
        <f t="shared" si="10"/>
        <v>0</v>
      </c>
      <c r="U99" s="327" t="str">
        <f t="shared" si="11"/>
        <v/>
      </c>
      <c r="V99" s="329"/>
    </row>
    <row r="100" ht="13.5" hidden="1" customHeight="1" outlineLevel="1" spans="2:22">
      <c r="B100" s="252">
        <v>95</v>
      </c>
      <c r="C100" s="318"/>
      <c r="D100" s="319"/>
      <c r="E100" s="320" t="str">
        <f t="shared" si="1"/>
        <v/>
      </c>
      <c r="F100" s="321"/>
      <c r="G100" s="321"/>
      <c r="H100" s="321"/>
      <c r="I100" s="321"/>
      <c r="J100" s="321"/>
      <c r="K100" s="321"/>
      <c r="L100" s="322"/>
      <c r="M100" s="322"/>
      <c r="N100" s="322"/>
      <c r="O100" s="322"/>
      <c r="P100" s="322"/>
      <c r="Q100" s="322"/>
      <c r="R100" s="326">
        <f t="shared" si="9"/>
        <v>0</v>
      </c>
      <c r="S100" s="321"/>
      <c r="T100" s="326">
        <f t="shared" si="10"/>
        <v>0</v>
      </c>
      <c r="U100" s="327" t="str">
        <f t="shared" si="11"/>
        <v/>
      </c>
      <c r="V100" s="329"/>
    </row>
    <row r="101" ht="13.5" hidden="1" customHeight="1" outlineLevel="1" spans="2:22">
      <c r="B101" s="252">
        <v>96</v>
      </c>
      <c r="C101" s="318"/>
      <c r="D101" s="319"/>
      <c r="E101" s="320" t="str">
        <f t="shared" si="1"/>
        <v/>
      </c>
      <c r="F101" s="321"/>
      <c r="G101" s="321"/>
      <c r="H101" s="321"/>
      <c r="I101" s="321"/>
      <c r="J101" s="321"/>
      <c r="K101" s="321"/>
      <c r="L101" s="322"/>
      <c r="M101" s="322"/>
      <c r="N101" s="322"/>
      <c r="O101" s="322"/>
      <c r="P101" s="322"/>
      <c r="Q101" s="322"/>
      <c r="R101" s="326">
        <f t="shared" si="9"/>
        <v>0</v>
      </c>
      <c r="S101" s="321"/>
      <c r="T101" s="326">
        <f t="shared" si="10"/>
        <v>0</v>
      </c>
      <c r="U101" s="327" t="str">
        <f t="shared" si="11"/>
        <v/>
      </c>
      <c r="V101" s="329"/>
    </row>
    <row r="102" ht="13.5" hidden="1" customHeight="1" outlineLevel="1" spans="2:22">
      <c r="B102" s="252">
        <v>97</v>
      </c>
      <c r="C102" s="318"/>
      <c r="D102" s="319"/>
      <c r="E102" s="320" t="str">
        <f t="shared" si="1"/>
        <v/>
      </c>
      <c r="F102" s="321"/>
      <c r="G102" s="321"/>
      <c r="H102" s="321"/>
      <c r="I102" s="321"/>
      <c r="J102" s="321"/>
      <c r="K102" s="321"/>
      <c r="L102" s="322"/>
      <c r="M102" s="322"/>
      <c r="N102" s="322"/>
      <c r="O102" s="322"/>
      <c r="P102" s="322"/>
      <c r="Q102" s="322"/>
      <c r="R102" s="326">
        <f t="shared" si="9"/>
        <v>0</v>
      </c>
      <c r="S102" s="321"/>
      <c r="T102" s="326">
        <f t="shared" si="10"/>
        <v>0</v>
      </c>
      <c r="U102" s="327" t="str">
        <f t="shared" si="11"/>
        <v/>
      </c>
      <c r="V102" s="329"/>
    </row>
    <row r="103" ht="13.5" hidden="1" customHeight="1" outlineLevel="1" spans="2:22">
      <c r="B103" s="252">
        <v>98</v>
      </c>
      <c r="C103" s="318"/>
      <c r="D103" s="319"/>
      <c r="E103" s="320" t="str">
        <f t="shared" si="1"/>
        <v/>
      </c>
      <c r="F103" s="321"/>
      <c r="G103" s="321"/>
      <c r="H103" s="321"/>
      <c r="I103" s="321"/>
      <c r="J103" s="321"/>
      <c r="K103" s="321"/>
      <c r="L103" s="322"/>
      <c r="M103" s="322"/>
      <c r="N103" s="322"/>
      <c r="O103" s="322"/>
      <c r="P103" s="322"/>
      <c r="Q103" s="322"/>
      <c r="R103" s="326">
        <f t="shared" si="9"/>
        <v>0</v>
      </c>
      <c r="S103" s="321"/>
      <c r="T103" s="326">
        <f t="shared" si="10"/>
        <v>0</v>
      </c>
      <c r="U103" s="327" t="str">
        <f t="shared" si="11"/>
        <v/>
      </c>
      <c r="V103" s="329"/>
    </row>
    <row r="104" ht="13.5" hidden="1" customHeight="1" outlineLevel="1" spans="2:22">
      <c r="B104" s="252">
        <v>99</v>
      </c>
      <c r="C104" s="318"/>
      <c r="D104" s="319"/>
      <c r="E104" s="320" t="str">
        <f t="shared" si="1"/>
        <v/>
      </c>
      <c r="F104" s="321"/>
      <c r="G104" s="321"/>
      <c r="H104" s="321"/>
      <c r="I104" s="321"/>
      <c r="J104" s="321"/>
      <c r="K104" s="321"/>
      <c r="L104" s="322"/>
      <c r="M104" s="322"/>
      <c r="N104" s="322"/>
      <c r="O104" s="322"/>
      <c r="P104" s="322"/>
      <c r="Q104" s="322"/>
      <c r="R104" s="326">
        <f t="shared" si="9"/>
        <v>0</v>
      </c>
      <c r="S104" s="321"/>
      <c r="T104" s="326">
        <f t="shared" si="10"/>
        <v>0</v>
      </c>
      <c r="U104" s="327" t="str">
        <f t="shared" si="11"/>
        <v/>
      </c>
      <c r="V104" s="329"/>
    </row>
    <row r="105" ht="13.5" hidden="1" customHeight="1" outlineLevel="1" spans="2:22">
      <c r="B105" s="252">
        <v>100</v>
      </c>
      <c r="C105" s="318"/>
      <c r="D105" s="319"/>
      <c r="E105" s="320" t="str">
        <f t="shared" si="1"/>
        <v/>
      </c>
      <c r="F105" s="321"/>
      <c r="G105" s="321"/>
      <c r="H105" s="321"/>
      <c r="I105" s="321"/>
      <c r="J105" s="321"/>
      <c r="K105" s="321"/>
      <c r="L105" s="322"/>
      <c r="M105" s="322"/>
      <c r="N105" s="322"/>
      <c r="O105" s="322"/>
      <c r="P105" s="322"/>
      <c r="Q105" s="322"/>
      <c r="R105" s="326">
        <f t="shared" si="9"/>
        <v>0</v>
      </c>
      <c r="S105" s="321"/>
      <c r="T105" s="326">
        <f t="shared" si="10"/>
        <v>0</v>
      </c>
      <c r="U105" s="327" t="str">
        <f t="shared" si="11"/>
        <v/>
      </c>
      <c r="V105" s="329"/>
    </row>
    <row r="106" ht="13.5" hidden="1" customHeight="1" outlineLevel="1" spans="2:22">
      <c r="B106" s="252">
        <v>101</v>
      </c>
      <c r="C106" s="318"/>
      <c r="D106" s="319"/>
      <c r="E106" s="320" t="str">
        <f t="shared" si="1"/>
        <v/>
      </c>
      <c r="F106" s="321"/>
      <c r="G106" s="321"/>
      <c r="H106" s="321"/>
      <c r="I106" s="321"/>
      <c r="J106" s="321"/>
      <c r="K106" s="321"/>
      <c r="L106" s="322"/>
      <c r="M106" s="322"/>
      <c r="N106" s="322"/>
      <c r="O106" s="322"/>
      <c r="P106" s="322"/>
      <c r="Q106" s="322"/>
      <c r="R106" s="326">
        <f t="shared" si="9"/>
        <v>0</v>
      </c>
      <c r="S106" s="321"/>
      <c r="T106" s="326">
        <f t="shared" si="10"/>
        <v>0</v>
      </c>
      <c r="U106" s="327" t="str">
        <f t="shared" si="11"/>
        <v/>
      </c>
      <c r="V106" s="329"/>
    </row>
    <row r="107" ht="13.5" hidden="1" customHeight="1" outlineLevel="1" spans="2:22">
      <c r="B107" s="252">
        <v>102</v>
      </c>
      <c r="C107" s="318"/>
      <c r="D107" s="319"/>
      <c r="E107" s="320" t="str">
        <f t="shared" si="1"/>
        <v/>
      </c>
      <c r="F107" s="321"/>
      <c r="G107" s="321"/>
      <c r="H107" s="321"/>
      <c r="I107" s="321"/>
      <c r="J107" s="321"/>
      <c r="K107" s="321"/>
      <c r="L107" s="322"/>
      <c r="M107" s="322"/>
      <c r="N107" s="322"/>
      <c r="O107" s="322"/>
      <c r="P107" s="322"/>
      <c r="Q107" s="322"/>
      <c r="R107" s="326">
        <f t="shared" si="9"/>
        <v>0</v>
      </c>
      <c r="S107" s="321"/>
      <c r="T107" s="326">
        <f t="shared" si="10"/>
        <v>0</v>
      </c>
      <c r="U107" s="327" t="str">
        <f t="shared" si="11"/>
        <v/>
      </c>
      <c r="V107" s="329"/>
    </row>
    <row r="108" ht="13.5" hidden="1" customHeight="1" outlineLevel="1" spans="2:22">
      <c r="B108" s="252">
        <v>103</v>
      </c>
      <c r="C108" s="318"/>
      <c r="D108" s="319"/>
      <c r="E108" s="320" t="str">
        <f t="shared" si="1"/>
        <v/>
      </c>
      <c r="F108" s="321"/>
      <c r="G108" s="321"/>
      <c r="H108" s="321"/>
      <c r="I108" s="321"/>
      <c r="J108" s="321"/>
      <c r="K108" s="321"/>
      <c r="L108" s="322"/>
      <c r="M108" s="322"/>
      <c r="N108" s="322"/>
      <c r="O108" s="322"/>
      <c r="P108" s="322"/>
      <c r="Q108" s="322"/>
      <c r="R108" s="326">
        <f t="shared" si="9"/>
        <v>0</v>
      </c>
      <c r="S108" s="321"/>
      <c r="T108" s="326">
        <f t="shared" si="10"/>
        <v>0</v>
      </c>
      <c r="U108" s="327" t="str">
        <f t="shared" si="11"/>
        <v/>
      </c>
      <c r="V108" s="329"/>
    </row>
    <row r="109" ht="13.5" hidden="1" customHeight="1" outlineLevel="1" spans="2:22">
      <c r="B109" s="252">
        <v>104</v>
      </c>
      <c r="C109" s="318"/>
      <c r="D109" s="319"/>
      <c r="E109" s="320" t="str">
        <f t="shared" si="1"/>
        <v/>
      </c>
      <c r="F109" s="321"/>
      <c r="G109" s="321"/>
      <c r="H109" s="321"/>
      <c r="I109" s="321"/>
      <c r="J109" s="321"/>
      <c r="K109" s="321"/>
      <c r="L109" s="322"/>
      <c r="M109" s="322"/>
      <c r="N109" s="322"/>
      <c r="O109" s="322"/>
      <c r="P109" s="322"/>
      <c r="Q109" s="322"/>
      <c r="R109" s="326">
        <f t="shared" si="9"/>
        <v>0</v>
      </c>
      <c r="S109" s="321"/>
      <c r="T109" s="326">
        <f t="shared" si="10"/>
        <v>0</v>
      </c>
      <c r="U109" s="327" t="str">
        <f t="shared" si="11"/>
        <v/>
      </c>
      <c r="V109" s="329"/>
    </row>
    <row r="110" ht="13.5" hidden="1" customHeight="1" outlineLevel="1" spans="2:22">
      <c r="B110" s="252">
        <v>105</v>
      </c>
      <c r="C110" s="318"/>
      <c r="D110" s="319"/>
      <c r="E110" s="320" t="str">
        <f t="shared" si="1"/>
        <v/>
      </c>
      <c r="F110" s="321"/>
      <c r="G110" s="321"/>
      <c r="H110" s="321"/>
      <c r="I110" s="321"/>
      <c r="J110" s="321"/>
      <c r="K110" s="321"/>
      <c r="L110" s="322"/>
      <c r="M110" s="322"/>
      <c r="N110" s="322"/>
      <c r="O110" s="322"/>
      <c r="P110" s="322"/>
      <c r="Q110" s="322"/>
      <c r="R110" s="326">
        <f t="shared" si="9"/>
        <v>0</v>
      </c>
      <c r="S110" s="321"/>
      <c r="T110" s="326">
        <f t="shared" si="10"/>
        <v>0</v>
      </c>
      <c r="U110" s="327" t="str">
        <f t="shared" si="11"/>
        <v/>
      </c>
      <c r="V110" s="329"/>
    </row>
    <row r="111" ht="13.5" hidden="1" customHeight="1" outlineLevel="1" spans="2:22">
      <c r="B111" s="252">
        <v>106</v>
      </c>
      <c r="C111" s="318"/>
      <c r="D111" s="319"/>
      <c r="E111" s="320" t="str">
        <f t="shared" si="1"/>
        <v/>
      </c>
      <c r="F111" s="321"/>
      <c r="G111" s="321"/>
      <c r="H111" s="321"/>
      <c r="I111" s="321"/>
      <c r="J111" s="321"/>
      <c r="K111" s="321"/>
      <c r="L111" s="322"/>
      <c r="M111" s="322"/>
      <c r="N111" s="322"/>
      <c r="O111" s="322"/>
      <c r="P111" s="322"/>
      <c r="Q111" s="322"/>
      <c r="R111" s="326">
        <f t="shared" si="9"/>
        <v>0</v>
      </c>
      <c r="S111" s="321"/>
      <c r="T111" s="326">
        <f t="shared" si="10"/>
        <v>0</v>
      </c>
      <c r="U111" s="327" t="str">
        <f t="shared" si="11"/>
        <v/>
      </c>
      <c r="V111" s="329"/>
    </row>
    <row r="112" ht="13.5" hidden="1" customHeight="1" outlineLevel="1" spans="2:22">
      <c r="B112" s="252">
        <v>107</v>
      </c>
      <c r="C112" s="318"/>
      <c r="D112" s="319"/>
      <c r="E112" s="320" t="str">
        <f t="shared" si="1"/>
        <v/>
      </c>
      <c r="F112" s="321"/>
      <c r="G112" s="321"/>
      <c r="H112" s="321"/>
      <c r="I112" s="321"/>
      <c r="J112" s="321"/>
      <c r="K112" s="321"/>
      <c r="L112" s="322"/>
      <c r="M112" s="322"/>
      <c r="N112" s="322"/>
      <c r="O112" s="322"/>
      <c r="P112" s="322"/>
      <c r="Q112" s="322"/>
      <c r="R112" s="326">
        <f t="shared" si="9"/>
        <v>0</v>
      </c>
      <c r="S112" s="321"/>
      <c r="T112" s="326">
        <f t="shared" si="10"/>
        <v>0</v>
      </c>
      <c r="U112" s="327" t="str">
        <f t="shared" si="11"/>
        <v/>
      </c>
      <c r="V112" s="329"/>
    </row>
    <row r="113" ht="13.5" hidden="1" customHeight="1" outlineLevel="1" spans="2:22">
      <c r="B113" s="252">
        <v>108</v>
      </c>
      <c r="C113" s="318"/>
      <c r="D113" s="319"/>
      <c r="E113" s="320" t="str">
        <f t="shared" si="1"/>
        <v/>
      </c>
      <c r="F113" s="321"/>
      <c r="G113" s="321"/>
      <c r="H113" s="321"/>
      <c r="I113" s="321"/>
      <c r="J113" s="321"/>
      <c r="K113" s="321"/>
      <c r="L113" s="322"/>
      <c r="M113" s="322"/>
      <c r="N113" s="322"/>
      <c r="O113" s="322"/>
      <c r="P113" s="322"/>
      <c r="Q113" s="322"/>
      <c r="R113" s="326">
        <f t="shared" si="9"/>
        <v>0</v>
      </c>
      <c r="S113" s="321"/>
      <c r="T113" s="326">
        <f t="shared" si="10"/>
        <v>0</v>
      </c>
      <c r="U113" s="327" t="str">
        <f t="shared" si="11"/>
        <v/>
      </c>
      <c r="V113" s="329"/>
    </row>
    <row r="114" ht="13.5" customHeight="1" collapsed="1" spans="2:22">
      <c r="B114" s="252">
        <v>109</v>
      </c>
      <c r="C114" s="318"/>
      <c r="D114" s="319"/>
      <c r="E114" s="320" t="str">
        <f t="shared" si="1"/>
        <v/>
      </c>
      <c r="F114" s="321"/>
      <c r="G114" s="321"/>
      <c r="H114" s="321"/>
      <c r="I114" s="321"/>
      <c r="J114" s="321"/>
      <c r="K114" s="321"/>
      <c r="L114" s="322"/>
      <c r="M114" s="322"/>
      <c r="N114" s="322"/>
      <c r="O114" s="322"/>
      <c r="P114" s="322"/>
      <c r="Q114" s="322"/>
      <c r="R114" s="326">
        <f t="shared" si="9"/>
        <v>0</v>
      </c>
      <c r="S114" s="321"/>
      <c r="T114" s="326">
        <f t="shared" si="10"/>
        <v>0</v>
      </c>
      <c r="U114" s="327" t="str">
        <f t="shared" si="11"/>
        <v/>
      </c>
      <c r="V114" s="329"/>
    </row>
    <row r="115" ht="13.5" customHeight="1" spans="2:22">
      <c r="B115" s="252">
        <v>110</v>
      </c>
      <c r="C115" s="318"/>
      <c r="D115" s="319"/>
      <c r="E115" s="320" t="str">
        <f t="shared" si="1"/>
        <v/>
      </c>
      <c r="F115" s="321"/>
      <c r="G115" s="321"/>
      <c r="H115" s="321"/>
      <c r="I115" s="321"/>
      <c r="J115" s="321"/>
      <c r="K115" s="321"/>
      <c r="L115" s="322"/>
      <c r="M115" s="322"/>
      <c r="N115" s="322"/>
      <c r="O115" s="322"/>
      <c r="P115" s="322"/>
      <c r="Q115" s="322"/>
      <c r="R115" s="326">
        <f t="shared" si="9"/>
        <v>0</v>
      </c>
      <c r="S115" s="321"/>
      <c r="T115" s="326">
        <f t="shared" si="10"/>
        <v>0</v>
      </c>
      <c r="U115" s="327" t="str">
        <f t="shared" si="11"/>
        <v/>
      </c>
      <c r="V115" s="329"/>
    </row>
    <row r="116" ht="13.5" customHeight="1" spans="2:22">
      <c r="B116" s="252">
        <v>111</v>
      </c>
      <c r="C116" s="318"/>
      <c r="D116" s="319"/>
      <c r="E116" s="320" t="str">
        <f t="shared" si="1"/>
        <v/>
      </c>
      <c r="F116" s="321"/>
      <c r="G116" s="321"/>
      <c r="H116" s="321"/>
      <c r="I116" s="321"/>
      <c r="J116" s="321"/>
      <c r="K116" s="321"/>
      <c r="L116" s="322"/>
      <c r="M116" s="322"/>
      <c r="N116" s="322"/>
      <c r="O116" s="322"/>
      <c r="P116" s="322"/>
      <c r="Q116" s="322"/>
      <c r="R116" s="326">
        <f t="shared" si="9"/>
        <v>0</v>
      </c>
      <c r="S116" s="321"/>
      <c r="T116" s="326">
        <f t="shared" si="10"/>
        <v>0</v>
      </c>
      <c r="U116" s="327" t="str">
        <f t="shared" si="11"/>
        <v/>
      </c>
      <c r="V116" s="329"/>
    </row>
    <row r="117" ht="13.5" customHeight="1" spans="2:22">
      <c r="B117" s="252">
        <v>112</v>
      </c>
      <c r="C117" s="318"/>
      <c r="D117" s="319"/>
      <c r="E117" s="320" t="str">
        <f t="shared" si="1"/>
        <v/>
      </c>
      <c r="F117" s="321"/>
      <c r="G117" s="321"/>
      <c r="H117" s="321"/>
      <c r="I117" s="321"/>
      <c r="J117" s="321"/>
      <c r="K117" s="321"/>
      <c r="L117" s="322"/>
      <c r="M117" s="322"/>
      <c r="N117" s="322"/>
      <c r="O117" s="322"/>
      <c r="P117" s="322"/>
      <c r="Q117" s="322"/>
      <c r="R117" s="326">
        <f t="shared" si="9"/>
        <v>0</v>
      </c>
      <c r="S117" s="321"/>
      <c r="T117" s="326">
        <f t="shared" si="10"/>
        <v>0</v>
      </c>
      <c r="U117" s="327" t="str">
        <f t="shared" si="11"/>
        <v/>
      </c>
      <c r="V117" s="329"/>
    </row>
    <row r="118" ht="13.5" customHeight="1" spans="2:22">
      <c r="B118" s="330">
        <v>113</v>
      </c>
      <c r="C118" s="331"/>
      <c r="D118" s="332"/>
      <c r="E118" s="333" t="str">
        <f t="shared" si="1"/>
        <v/>
      </c>
      <c r="F118" s="334"/>
      <c r="G118" s="334"/>
      <c r="H118" s="334"/>
      <c r="I118" s="334"/>
      <c r="J118" s="334"/>
      <c r="K118" s="334"/>
      <c r="L118" s="345"/>
      <c r="M118" s="345"/>
      <c r="N118" s="345"/>
      <c r="O118" s="345"/>
      <c r="P118" s="345"/>
      <c r="Q118" s="345"/>
      <c r="R118" s="351">
        <f t="shared" si="9"/>
        <v>0</v>
      </c>
      <c r="S118" s="334"/>
      <c r="T118" s="351">
        <f t="shared" si="10"/>
        <v>0</v>
      </c>
      <c r="U118" s="352" t="str">
        <f t="shared" si="4"/>
        <v/>
      </c>
      <c r="V118" s="353"/>
    </row>
    <row r="119" ht="17.1" customHeight="1" spans="18:20">
      <c r="R119" s="354"/>
      <c r="S119" s="354"/>
      <c r="T119" s="354"/>
    </row>
    <row r="120" ht="17.1" customHeight="1" spans="2:20">
      <c r="B120" s="298" t="s">
        <v>151</v>
      </c>
      <c r="R120" s="354"/>
      <c r="S120" s="354"/>
      <c r="T120" s="354"/>
    </row>
    <row r="121" ht="13.5" customHeight="1" spans="2:22">
      <c r="B121" s="265" t="s">
        <v>152</v>
      </c>
      <c r="C121" s="335"/>
      <c r="D121" s="336"/>
      <c r="E121" s="336"/>
      <c r="F121" s="337"/>
      <c r="G121" s="338"/>
      <c r="H121" s="339"/>
      <c r="I121" s="346"/>
      <c r="J121" s="347"/>
      <c r="K121" s="348"/>
      <c r="L121" s="348"/>
      <c r="M121" s="348"/>
      <c r="N121" s="348"/>
      <c r="O121" s="348"/>
      <c r="P121" s="348"/>
      <c r="Q121" s="348"/>
      <c r="R121" s="348"/>
      <c r="S121" s="348"/>
      <c r="T121" s="348"/>
      <c r="U121" s="348"/>
      <c r="V121" s="355"/>
    </row>
    <row r="122" ht="13.5" customHeight="1" spans="2:22">
      <c r="B122" s="268" t="s">
        <v>153</v>
      </c>
      <c r="C122" s="340"/>
      <c r="D122" s="341"/>
      <c r="E122" s="341"/>
      <c r="F122" s="281"/>
      <c r="G122" s="282"/>
      <c r="H122" s="283"/>
      <c r="I122" s="284"/>
      <c r="J122" s="285"/>
      <c r="K122" s="223"/>
      <c r="L122" s="223"/>
      <c r="M122" s="223"/>
      <c r="N122" s="223"/>
      <c r="O122" s="223"/>
      <c r="P122" s="223"/>
      <c r="Q122" s="223"/>
      <c r="R122" s="223"/>
      <c r="S122" s="223"/>
      <c r="T122" s="223"/>
      <c r="U122" s="223"/>
      <c r="V122" s="356"/>
    </row>
    <row r="123" ht="13.5" customHeight="1" spans="2:22">
      <c r="B123" s="268" t="s">
        <v>154</v>
      </c>
      <c r="C123" s="340"/>
      <c r="D123" s="341"/>
      <c r="E123" s="341"/>
      <c r="F123" s="281"/>
      <c r="G123" s="282"/>
      <c r="H123" s="283"/>
      <c r="I123" s="284"/>
      <c r="J123" s="285"/>
      <c r="K123" s="223"/>
      <c r="L123" s="223"/>
      <c r="M123" s="223"/>
      <c r="N123" s="223"/>
      <c r="O123" s="223"/>
      <c r="P123" s="223"/>
      <c r="Q123" s="223"/>
      <c r="R123" s="223"/>
      <c r="S123" s="223"/>
      <c r="T123" s="223"/>
      <c r="U123" s="223"/>
      <c r="V123" s="356"/>
    </row>
    <row r="124" ht="13.5" customHeight="1" spans="2:22">
      <c r="B124" s="268"/>
      <c r="C124" s="340"/>
      <c r="D124" s="341"/>
      <c r="E124" s="341"/>
      <c r="F124" s="281"/>
      <c r="G124" s="282"/>
      <c r="H124" s="283"/>
      <c r="I124" s="284"/>
      <c r="J124" s="285"/>
      <c r="K124" s="223"/>
      <c r="L124" s="223"/>
      <c r="M124" s="223"/>
      <c r="N124" s="223"/>
      <c r="O124" s="223"/>
      <c r="P124" s="223"/>
      <c r="Q124" s="223"/>
      <c r="R124" s="223"/>
      <c r="S124" s="223"/>
      <c r="T124" s="223"/>
      <c r="U124" s="223"/>
      <c r="V124" s="356"/>
    </row>
    <row r="125" ht="13.5" customHeight="1" spans="2:22">
      <c r="B125" s="268"/>
      <c r="C125" s="340"/>
      <c r="D125" s="342"/>
      <c r="E125" s="342"/>
      <c r="F125" s="281"/>
      <c r="G125" s="282"/>
      <c r="H125" s="283"/>
      <c r="I125" s="282"/>
      <c r="J125" s="281"/>
      <c r="K125" s="223"/>
      <c r="L125" s="223"/>
      <c r="M125" s="223"/>
      <c r="N125" s="223"/>
      <c r="O125" s="223"/>
      <c r="P125" s="223"/>
      <c r="Q125" s="223"/>
      <c r="R125" s="223"/>
      <c r="S125" s="223"/>
      <c r="T125" s="223"/>
      <c r="U125" s="223"/>
      <c r="V125" s="356"/>
    </row>
    <row r="126" s="223" customFormat="1" ht="15" customHeight="1" spans="1:22">
      <c r="A126" s="272"/>
      <c r="B126" s="273"/>
      <c r="C126" s="343"/>
      <c r="D126" s="274"/>
      <c r="E126" s="274"/>
      <c r="F126" s="274"/>
      <c r="G126" s="275"/>
      <c r="H126" s="276"/>
      <c r="I126" s="277"/>
      <c r="J126" s="278"/>
      <c r="K126" s="296"/>
      <c r="L126" s="296"/>
      <c r="M126" s="296"/>
      <c r="N126" s="296"/>
      <c r="O126" s="296"/>
      <c r="P126" s="296"/>
      <c r="Q126" s="296"/>
      <c r="R126" s="296"/>
      <c r="S126" s="296"/>
      <c r="T126" s="296"/>
      <c r="U126" s="296"/>
      <c r="V126" s="297"/>
    </row>
    <row r="127" s="223" customFormat="1" ht="15" customHeight="1" spans="1:10">
      <c r="A127" s="272"/>
      <c r="B127" s="279"/>
      <c r="C127" s="279"/>
      <c r="D127" s="280"/>
      <c r="E127" s="280"/>
      <c r="F127" s="281"/>
      <c r="G127" s="282"/>
      <c r="H127" s="283"/>
      <c r="I127" s="284"/>
      <c r="J127" s="285"/>
    </row>
    <row r="128" s="223" customFormat="1" ht="15" customHeight="1" spans="1:10">
      <c r="A128" s="272"/>
      <c r="B128" s="344" t="s">
        <v>155</v>
      </c>
      <c r="C128" s="279"/>
      <c r="D128" s="280"/>
      <c r="E128" s="280"/>
      <c r="F128" s="281"/>
      <c r="G128" s="282"/>
      <c r="H128" s="283"/>
      <c r="I128" s="349"/>
      <c r="J128" s="350"/>
    </row>
    <row r="129" s="223" customFormat="1" ht="15" customHeight="1" spans="1:10">
      <c r="A129" s="272"/>
      <c r="B129" s="344" t="s">
        <v>156</v>
      </c>
      <c r="C129" s="279"/>
      <c r="D129" s="280"/>
      <c r="E129" s="280"/>
      <c r="F129" s="281"/>
      <c r="G129" s="282"/>
      <c r="H129" s="283"/>
      <c r="I129" s="349"/>
      <c r="J129" s="350"/>
    </row>
    <row r="130" s="223" customFormat="1" ht="15" customHeight="1" spans="1:10">
      <c r="A130" s="272"/>
      <c r="B130" s="344" t="s">
        <v>157</v>
      </c>
      <c r="D130" s="286"/>
      <c r="E130" s="286"/>
      <c r="F130" s="281"/>
      <c r="G130" s="282"/>
      <c r="H130" s="283"/>
      <c r="I130" s="282"/>
      <c r="J130" s="281"/>
    </row>
    <row r="131" s="223" customFormat="1" ht="15" customHeight="1" spans="1:10">
      <c r="A131" s="272"/>
      <c r="B131" s="344"/>
      <c r="D131" s="357"/>
      <c r="E131" s="357"/>
      <c r="F131" s="281"/>
      <c r="G131" s="282"/>
      <c r="H131" s="283"/>
      <c r="I131" s="282"/>
      <c r="J131" s="281"/>
    </row>
    <row r="132" s="299" customFormat="1" ht="19.5" customHeight="1" spans="5:17">
      <c r="E132" s="358" t="s">
        <v>158</v>
      </c>
      <c r="I132" s="365" t="s">
        <v>159</v>
      </c>
      <c r="K132" s="366"/>
      <c r="L132" s="366"/>
      <c r="M132" s="366"/>
      <c r="N132" s="366"/>
      <c r="O132" s="366"/>
      <c r="P132" s="366"/>
      <c r="Q132" s="411"/>
    </row>
    <row r="133" s="300" customFormat="1" ht="54.9" customHeight="1" spans="2:18">
      <c r="B133" s="359" t="s">
        <v>160</v>
      </c>
      <c r="C133"/>
      <c r="E133" s="360" t="s">
        <v>161</v>
      </c>
      <c r="F133" s="360" t="s">
        <v>162</v>
      </c>
      <c r="I133" s="367" t="s">
        <v>125</v>
      </c>
      <c r="J133" s="368" t="s">
        <v>163</v>
      </c>
      <c r="K133" s="368" t="s">
        <v>164</v>
      </c>
      <c r="L133" s="368" t="s">
        <v>165</v>
      </c>
      <c r="M133" s="369" t="s">
        <v>99</v>
      </c>
      <c r="N133" s="366"/>
      <c r="O133" s="366"/>
      <c r="P133" s="366"/>
      <c r="Q133" s="366"/>
      <c r="R133" s="411"/>
    </row>
    <row r="134" s="300" customFormat="1" ht="19.5" customHeight="1" spans="2:18">
      <c r="B134" s="361" t="s">
        <v>166</v>
      </c>
      <c r="C134"/>
      <c r="E134" s="362" t="s">
        <v>145</v>
      </c>
      <c r="F134" s="363" t="s">
        <v>167</v>
      </c>
      <c r="I134" s="370" t="s">
        <v>168</v>
      </c>
      <c r="J134" s="371">
        <f>SUM(J135:J153)</f>
        <v>2095612.66</v>
      </c>
      <c r="K134" s="371">
        <f>SUM(K135:K153)</f>
        <v>0</v>
      </c>
      <c r="L134" s="371">
        <f>SUM(L135:L153)</f>
        <v>0</v>
      </c>
      <c r="M134" s="372">
        <f>SUM(M135:M153)</f>
        <v>2095612.66</v>
      </c>
      <c r="N134" s="366"/>
      <c r="O134" s="366"/>
      <c r="P134" s="366"/>
      <c r="Q134" s="366"/>
      <c r="R134" s="411"/>
    </row>
    <row r="135" s="300" customFormat="1" ht="19.5" customHeight="1" spans="2:18">
      <c r="B135" s="361" t="s">
        <v>169</v>
      </c>
      <c r="C135"/>
      <c r="E135" s="362" t="s">
        <v>148</v>
      </c>
      <c r="F135" s="363" t="s">
        <v>148</v>
      </c>
      <c r="I135" s="373" t="str">
        <f>B134&amp;""</f>
        <v>职工薪酬</v>
      </c>
      <c r="J135" s="374">
        <v>0</v>
      </c>
      <c r="K135" s="375"/>
      <c r="L135" s="375"/>
      <c r="M135" s="376">
        <f>J135+K135+L135</f>
        <v>0</v>
      </c>
      <c r="N135" s="366"/>
      <c r="O135" s="366"/>
      <c r="P135" s="366"/>
      <c r="Q135" s="366"/>
      <c r="R135" s="411"/>
    </row>
    <row r="136" s="300" customFormat="1" ht="19.5" customHeight="1" spans="2:13">
      <c r="B136" s="361" t="s">
        <v>148</v>
      </c>
      <c r="C136"/>
      <c r="E136" s="362" t="s">
        <v>170</v>
      </c>
      <c r="F136" s="363" t="s">
        <v>171</v>
      </c>
      <c r="I136" s="373" t="str">
        <f t="shared" ref="I136:I153" si="12">B135&amp;""</f>
        <v>保险费</v>
      </c>
      <c r="J136" s="374">
        <v>0</v>
      </c>
      <c r="K136" s="375"/>
      <c r="L136" s="375"/>
      <c r="M136" s="376">
        <f t="shared" ref="M136:M153" si="13">J136+K136+L136</f>
        <v>0</v>
      </c>
    </row>
    <row r="137" s="300" customFormat="1" ht="19.5" customHeight="1" spans="2:13">
      <c r="B137" s="361" t="s">
        <v>171</v>
      </c>
      <c r="C137"/>
      <c r="E137" s="362" t="s">
        <v>147</v>
      </c>
      <c r="F137" s="363" t="s">
        <v>147</v>
      </c>
      <c r="I137" s="373" t="str">
        <f t="shared" si="12"/>
        <v>折旧费</v>
      </c>
      <c r="J137" s="374">
        <v>1673146.88</v>
      </c>
      <c r="K137" s="375"/>
      <c r="L137" s="375"/>
      <c r="M137" s="376">
        <f t="shared" si="13"/>
        <v>1673146.88</v>
      </c>
    </row>
    <row r="138" s="300" customFormat="1" ht="19.5" customHeight="1" spans="2:13">
      <c r="B138" s="361" t="s">
        <v>147</v>
      </c>
      <c r="C138"/>
      <c r="E138" s="364" t="s">
        <v>172</v>
      </c>
      <c r="F138" s="363" t="s">
        <v>172</v>
      </c>
      <c r="I138" s="373" t="str">
        <f t="shared" si="12"/>
        <v>修理费</v>
      </c>
      <c r="J138" s="374">
        <v>0</v>
      </c>
      <c r="K138" s="375"/>
      <c r="L138" s="375"/>
      <c r="M138" s="376">
        <f t="shared" si="13"/>
        <v>0</v>
      </c>
    </row>
    <row r="139" s="300" customFormat="1" ht="19.5" customHeight="1" spans="2:13">
      <c r="B139" s="361" t="s">
        <v>173</v>
      </c>
      <c r="C139"/>
      <c r="E139" s="364" t="s">
        <v>174</v>
      </c>
      <c r="F139" s="363" t="s">
        <v>175</v>
      </c>
      <c r="I139" s="373" t="str">
        <f t="shared" si="12"/>
        <v>无形资产摊销</v>
      </c>
      <c r="J139" s="374">
        <v>200821.29</v>
      </c>
      <c r="K139" s="375"/>
      <c r="L139" s="375"/>
      <c r="M139" s="376">
        <f t="shared" si="13"/>
        <v>200821.29</v>
      </c>
    </row>
    <row r="140" s="300" customFormat="1" ht="19.5" customHeight="1" spans="2:13">
      <c r="B140" s="361" t="s">
        <v>172</v>
      </c>
      <c r="C140"/>
      <c r="E140" s="364" t="s">
        <v>176</v>
      </c>
      <c r="F140" s="363" t="s">
        <v>175</v>
      </c>
      <c r="I140" s="373" t="str">
        <f t="shared" si="12"/>
        <v>存货盘亏</v>
      </c>
      <c r="J140" s="374">
        <v>0</v>
      </c>
      <c r="K140" s="375"/>
      <c r="L140" s="375"/>
      <c r="M140" s="376">
        <f t="shared" si="13"/>
        <v>0</v>
      </c>
    </row>
    <row r="141" s="300" customFormat="1" ht="19.5" customHeight="1" spans="2:13">
      <c r="B141" s="361" t="s">
        <v>177</v>
      </c>
      <c r="C141"/>
      <c r="E141" s="364" t="s">
        <v>178</v>
      </c>
      <c r="F141" s="363" t="s">
        <v>178</v>
      </c>
      <c r="I141" s="373" t="str">
        <f t="shared" si="12"/>
        <v>业务招待费</v>
      </c>
      <c r="J141" s="374">
        <v>0</v>
      </c>
      <c r="K141" s="375"/>
      <c r="L141" s="375"/>
      <c r="M141" s="376">
        <f t="shared" si="13"/>
        <v>0</v>
      </c>
    </row>
    <row r="142" s="300" customFormat="1" ht="19.5" customHeight="1" spans="2:13">
      <c r="B142" s="361" t="s">
        <v>175</v>
      </c>
      <c r="C142"/>
      <c r="E142" s="364" t="s">
        <v>149</v>
      </c>
      <c r="F142" s="363" t="s">
        <v>179</v>
      </c>
      <c r="I142" s="373" t="str">
        <f t="shared" si="12"/>
        <v>差旅费</v>
      </c>
      <c r="J142" s="374">
        <v>0</v>
      </c>
      <c r="K142" s="375"/>
      <c r="L142" s="375"/>
      <c r="M142" s="376">
        <f t="shared" si="13"/>
        <v>0</v>
      </c>
    </row>
    <row r="143" s="300" customFormat="1" ht="19.5" customHeight="1" spans="2:13">
      <c r="B143" s="361" t="s">
        <v>180</v>
      </c>
      <c r="C143"/>
      <c r="E143" s="364" t="s">
        <v>181</v>
      </c>
      <c r="F143" s="363" t="s">
        <v>181</v>
      </c>
      <c r="I143" s="373" t="str">
        <f t="shared" si="12"/>
        <v>办公费</v>
      </c>
      <c r="J143" s="374">
        <v>280</v>
      </c>
      <c r="K143" s="375"/>
      <c r="L143" s="375"/>
      <c r="M143" s="376">
        <f t="shared" si="13"/>
        <v>280</v>
      </c>
    </row>
    <row r="144" s="300" customFormat="1" ht="19.5" customHeight="1" spans="2:13">
      <c r="B144" s="361" t="s">
        <v>178</v>
      </c>
      <c r="C144"/>
      <c r="E144" s="364" t="s">
        <v>182</v>
      </c>
      <c r="F144" s="363" t="s">
        <v>179</v>
      </c>
      <c r="I144" s="373" t="str">
        <f t="shared" si="12"/>
        <v>会议费</v>
      </c>
      <c r="J144" s="374">
        <v>0</v>
      </c>
      <c r="K144" s="375"/>
      <c r="L144" s="375"/>
      <c r="M144" s="376">
        <f t="shared" si="13"/>
        <v>0</v>
      </c>
    </row>
    <row r="145" s="300" customFormat="1" ht="19.5" customHeight="1" spans="2:13">
      <c r="B145" s="361" t="s">
        <v>179</v>
      </c>
      <c r="C145"/>
      <c r="E145" s="364" t="s">
        <v>150</v>
      </c>
      <c r="F145" s="363" t="s">
        <v>179</v>
      </c>
      <c r="I145" s="373" t="str">
        <f t="shared" si="12"/>
        <v>诉讼费</v>
      </c>
      <c r="J145" s="374">
        <v>0</v>
      </c>
      <c r="K145" s="375"/>
      <c r="L145" s="375"/>
      <c r="M145" s="376">
        <f t="shared" si="13"/>
        <v>0</v>
      </c>
    </row>
    <row r="146" s="300" customFormat="1" ht="19.5" customHeight="1" spans="2:13">
      <c r="B146" s="361" t="s">
        <v>181</v>
      </c>
      <c r="C146"/>
      <c r="E146" s="362" t="s">
        <v>183</v>
      </c>
      <c r="F146" s="363" t="s">
        <v>179</v>
      </c>
      <c r="I146" s="373" t="str">
        <f t="shared" si="12"/>
        <v>聘请中介机构费</v>
      </c>
      <c r="J146" s="374">
        <v>24751.45</v>
      </c>
      <c r="K146" s="375"/>
      <c r="L146" s="375"/>
      <c r="M146" s="376">
        <f t="shared" si="13"/>
        <v>24751.45</v>
      </c>
    </row>
    <row r="147" s="300" customFormat="1" ht="19.5" customHeight="1" spans="2:13">
      <c r="B147" s="361" t="s">
        <v>184</v>
      </c>
      <c r="C147"/>
      <c r="E147" s="362" t="s">
        <v>185</v>
      </c>
      <c r="F147" s="363" t="s">
        <v>167</v>
      </c>
      <c r="I147" s="373" t="str">
        <f t="shared" si="12"/>
        <v>咨询费</v>
      </c>
      <c r="J147" s="374">
        <v>0</v>
      </c>
      <c r="K147" s="375"/>
      <c r="L147" s="375"/>
      <c r="M147" s="376">
        <f t="shared" si="13"/>
        <v>0</v>
      </c>
    </row>
    <row r="148" s="300" customFormat="1" ht="19.5" customHeight="1" spans="2:13">
      <c r="B148" s="361" t="s">
        <v>186</v>
      </c>
      <c r="C148"/>
      <c r="E148" s="362" t="s">
        <v>146</v>
      </c>
      <c r="F148" s="363" t="s">
        <v>167</v>
      </c>
      <c r="I148" s="373" t="str">
        <f t="shared" si="12"/>
        <v>技术转让费</v>
      </c>
      <c r="J148" s="374">
        <v>0</v>
      </c>
      <c r="K148" s="375"/>
      <c r="L148" s="375"/>
      <c r="M148" s="376">
        <f t="shared" si="13"/>
        <v>0</v>
      </c>
    </row>
    <row r="149" s="300" customFormat="1" ht="19.5" customHeight="1" spans="2:13">
      <c r="B149" s="361" t="s">
        <v>187</v>
      </c>
      <c r="C149"/>
      <c r="E149" s="362" t="s">
        <v>188</v>
      </c>
      <c r="F149" s="363" t="s">
        <v>167</v>
      </c>
      <c r="I149" s="373" t="str">
        <f t="shared" si="12"/>
        <v>董事会费</v>
      </c>
      <c r="J149" s="374">
        <v>0</v>
      </c>
      <c r="K149" s="375"/>
      <c r="L149" s="375"/>
      <c r="M149" s="376">
        <f t="shared" si="13"/>
        <v>0</v>
      </c>
    </row>
    <row r="150" s="300" customFormat="1" ht="19.5" customHeight="1" spans="2:13">
      <c r="B150" s="361" t="s">
        <v>167</v>
      </c>
      <c r="C150"/>
      <c r="E150" s="362" t="s">
        <v>144</v>
      </c>
      <c r="F150" s="363" t="s">
        <v>169</v>
      </c>
      <c r="I150" s="373" t="str">
        <f t="shared" si="12"/>
        <v>排污费</v>
      </c>
      <c r="J150" s="374">
        <v>0</v>
      </c>
      <c r="K150" s="375"/>
      <c r="L150" s="375"/>
      <c r="M150" s="376">
        <f t="shared" si="13"/>
        <v>0</v>
      </c>
    </row>
    <row r="151" s="300" customFormat="1" ht="19.5" customHeight="1" spans="2:13">
      <c r="B151" s="361"/>
      <c r="C151"/>
      <c r="E151" s="362" t="s">
        <v>189</v>
      </c>
      <c r="F151" s="363" t="s">
        <v>167</v>
      </c>
      <c r="I151" s="373" t="str">
        <f t="shared" si="12"/>
        <v>其他</v>
      </c>
      <c r="J151" s="374">
        <v>196613.04</v>
      </c>
      <c r="K151" s="375"/>
      <c r="L151" s="375"/>
      <c r="M151" s="376">
        <f t="shared" si="13"/>
        <v>196613.04</v>
      </c>
    </row>
    <row r="152" s="300" customFormat="1" ht="19.5" customHeight="1" spans="2:13">
      <c r="B152" s="361"/>
      <c r="C152"/>
      <c r="E152" s="362" t="s">
        <v>190</v>
      </c>
      <c r="F152" s="363" t="s">
        <v>167</v>
      </c>
      <c r="I152" s="373" t="str">
        <f t="shared" si="12"/>
        <v/>
      </c>
      <c r="J152" s="374"/>
      <c r="K152" s="375"/>
      <c r="L152" s="375"/>
      <c r="M152" s="376">
        <f t="shared" si="13"/>
        <v>0</v>
      </c>
    </row>
    <row r="153" s="300" customFormat="1" ht="19.5" customHeight="1" spans="5:13">
      <c r="E153" s="362" t="s">
        <v>191</v>
      </c>
      <c r="F153" s="363" t="s">
        <v>167</v>
      </c>
      <c r="I153" s="377" t="str">
        <f t="shared" si="12"/>
        <v/>
      </c>
      <c r="J153" s="378"/>
      <c r="K153" s="379"/>
      <c r="L153" s="379"/>
      <c r="M153" s="380">
        <f t="shared" si="13"/>
        <v>0</v>
      </c>
    </row>
    <row r="154" s="300" customFormat="1" ht="19.5" customHeight="1" spans="5:6">
      <c r="E154" s="362"/>
      <c r="F154" s="363"/>
    </row>
    <row r="155" s="300" customFormat="1" ht="19.5" customHeight="1" spans="5:17">
      <c r="E155" s="362"/>
      <c r="F155" s="363"/>
      <c r="I155" s="381" t="s">
        <v>192</v>
      </c>
      <c r="J155" s="366"/>
      <c r="K155" s="366"/>
      <c r="L155" s="366"/>
      <c r="M155" s="366"/>
      <c r="N155" s="366"/>
      <c r="O155" s="366"/>
      <c r="P155" s="366"/>
      <c r="Q155" s="411"/>
    </row>
    <row r="156" s="300" customFormat="1" ht="19.5" customHeight="1" spans="5:17">
      <c r="E156" s="362"/>
      <c r="F156" s="363"/>
      <c r="I156" s="382" t="s">
        <v>52</v>
      </c>
      <c r="J156" s="381" t="s">
        <v>193</v>
      </c>
      <c r="K156" s="366"/>
      <c r="L156" s="366"/>
      <c r="M156" s="366"/>
      <c r="N156" s="366"/>
      <c r="O156" s="366"/>
      <c r="P156" s="366"/>
      <c r="Q156" s="411"/>
    </row>
    <row r="157" s="300" customFormat="1" ht="19.5" customHeight="1" spans="5:17">
      <c r="E157" s="362"/>
      <c r="F157" s="363"/>
      <c r="I157" s="382" t="s">
        <v>194</v>
      </c>
      <c r="J157" s="381" t="s">
        <v>195</v>
      </c>
      <c r="K157" s="366"/>
      <c r="L157" s="366"/>
      <c r="M157" s="366"/>
      <c r="N157" s="366"/>
      <c r="O157" s="366"/>
      <c r="P157" s="366"/>
      <c r="Q157" s="411"/>
    </row>
    <row r="158" s="300" customFormat="1" ht="19.5" customHeight="1" spans="5:17">
      <c r="E158" s="362"/>
      <c r="F158" s="363"/>
      <c r="I158" s="382" t="s">
        <v>194</v>
      </c>
      <c r="J158" s="381" t="s">
        <v>196</v>
      </c>
      <c r="K158" s="366"/>
      <c r="L158" s="366"/>
      <c r="M158" s="366"/>
      <c r="N158" s="366"/>
      <c r="O158" s="366"/>
      <c r="P158" s="366"/>
      <c r="Q158" s="411"/>
    </row>
    <row r="159" s="300" customFormat="1" ht="19.5" customHeight="1" spans="5:6">
      <c r="E159" s="362"/>
      <c r="F159" s="363"/>
    </row>
    <row r="160" s="300" customFormat="1" ht="19.5" customHeight="1" spans="5:22">
      <c r="E160" s="362"/>
      <c r="F160" s="363"/>
      <c r="G160" s="301"/>
      <c r="H160" s="301"/>
      <c r="I160" s="366"/>
      <c r="J160" s="383" t="s">
        <v>84</v>
      </c>
      <c r="K160" s="384" t="s">
        <v>85</v>
      </c>
      <c r="L160" s="384" t="s">
        <v>86</v>
      </c>
      <c r="M160" s="384" t="s">
        <v>87</v>
      </c>
      <c r="N160" s="384" t="s">
        <v>88</v>
      </c>
      <c r="O160" s="385" t="s">
        <v>89</v>
      </c>
      <c r="P160" s="385"/>
      <c r="Q160" s="412" t="s">
        <v>90</v>
      </c>
      <c r="R160" s="301"/>
      <c r="S160" s="301"/>
      <c r="T160" s="301"/>
      <c r="U160" s="301"/>
      <c r="V160" s="301"/>
    </row>
    <row r="161" s="300" customFormat="1" ht="19.5" customHeight="1" spans="5:22">
      <c r="E161" s="362"/>
      <c r="F161" s="363"/>
      <c r="G161" s="301"/>
      <c r="H161" s="301"/>
      <c r="I161" s="366"/>
      <c r="J161" s="386"/>
      <c r="K161" s="387"/>
      <c r="L161" s="387"/>
      <c r="M161" s="387"/>
      <c r="N161" s="387"/>
      <c r="O161" s="388" t="s">
        <v>91</v>
      </c>
      <c r="P161" s="388" t="s">
        <v>92</v>
      </c>
      <c r="Q161" s="413"/>
      <c r="R161" s="301"/>
      <c r="S161" s="301"/>
      <c r="T161" s="301"/>
      <c r="U161" s="301"/>
      <c r="V161" s="301"/>
    </row>
    <row r="162" s="300" customFormat="1" ht="16.95" customHeight="1" spans="5:22">
      <c r="E162" s="362"/>
      <c r="F162" s="363"/>
      <c r="G162" s="301"/>
      <c r="H162" s="301"/>
      <c r="I162" s="366"/>
      <c r="J162" s="389"/>
      <c r="K162" s="390"/>
      <c r="L162" s="390"/>
      <c r="M162" s="390"/>
      <c r="N162" s="391"/>
      <c r="O162" s="392"/>
      <c r="P162" s="392"/>
      <c r="Q162" s="414"/>
      <c r="R162" s="301"/>
      <c r="S162" s="301"/>
      <c r="T162" s="301"/>
      <c r="U162" s="301"/>
      <c r="V162" s="301"/>
    </row>
    <row r="163" s="300" customFormat="1" ht="16.95" customHeight="1" spans="5:22">
      <c r="E163" s="362"/>
      <c r="F163" s="363"/>
      <c r="G163" s="301"/>
      <c r="H163" s="301"/>
      <c r="I163" s="366"/>
      <c r="J163" s="389"/>
      <c r="K163" s="390"/>
      <c r="L163" s="390"/>
      <c r="M163" s="390"/>
      <c r="N163" s="391"/>
      <c r="O163" s="392"/>
      <c r="P163" s="392"/>
      <c r="Q163" s="414"/>
      <c r="R163" s="301"/>
      <c r="S163" s="301"/>
      <c r="T163" s="301"/>
      <c r="U163" s="301"/>
      <c r="V163" s="301"/>
    </row>
    <row r="164" s="300" customFormat="1" ht="16.95" customHeight="1" spans="5:22">
      <c r="E164" s="362"/>
      <c r="F164" s="363"/>
      <c r="G164" s="301"/>
      <c r="H164" s="301"/>
      <c r="I164" s="366"/>
      <c r="J164" s="389"/>
      <c r="K164" s="390"/>
      <c r="L164" s="390"/>
      <c r="M164" s="390"/>
      <c r="N164" s="391"/>
      <c r="O164" s="392"/>
      <c r="P164" s="392"/>
      <c r="Q164" s="414"/>
      <c r="R164" s="301"/>
      <c r="S164" s="301"/>
      <c r="T164" s="301"/>
      <c r="U164" s="301"/>
      <c r="V164" s="301"/>
    </row>
    <row r="165" s="300" customFormat="1" ht="16.95" customHeight="1" spans="5:22">
      <c r="E165" s="362"/>
      <c r="F165" s="363"/>
      <c r="G165" s="301"/>
      <c r="H165" s="301"/>
      <c r="I165" s="366"/>
      <c r="J165" s="389"/>
      <c r="K165" s="390"/>
      <c r="L165" s="390"/>
      <c r="M165" s="390"/>
      <c r="N165" s="391"/>
      <c r="O165" s="392"/>
      <c r="P165" s="392"/>
      <c r="Q165" s="414"/>
      <c r="R165" s="301"/>
      <c r="S165" s="301"/>
      <c r="T165" s="301"/>
      <c r="U165" s="301"/>
      <c r="V165" s="301"/>
    </row>
    <row r="166" s="300" customFormat="1" ht="16.95" customHeight="1" spans="5:22">
      <c r="E166" s="362"/>
      <c r="F166" s="363"/>
      <c r="G166" s="301"/>
      <c r="H166" s="301"/>
      <c r="I166" s="366"/>
      <c r="J166" s="389"/>
      <c r="K166" s="390"/>
      <c r="L166" s="390"/>
      <c r="M166" s="390"/>
      <c r="N166" s="391"/>
      <c r="O166" s="392"/>
      <c r="P166" s="392"/>
      <c r="Q166" s="414"/>
      <c r="R166" s="301"/>
      <c r="S166" s="301"/>
      <c r="T166" s="301"/>
      <c r="U166" s="301"/>
      <c r="V166" s="301"/>
    </row>
    <row r="167" ht="16.95" customHeight="1" spans="9:17">
      <c r="I167" s="365"/>
      <c r="J167" s="393"/>
      <c r="K167" s="390"/>
      <c r="L167" s="390"/>
      <c r="M167" s="390"/>
      <c r="N167" s="394"/>
      <c r="O167" s="395"/>
      <c r="P167" s="395"/>
      <c r="Q167" s="415"/>
    </row>
    <row r="168" ht="16.95" customHeight="1" spans="9:17">
      <c r="I168" s="366"/>
      <c r="J168" s="389"/>
      <c r="K168" s="390"/>
      <c r="L168" s="390"/>
      <c r="M168" s="390"/>
      <c r="N168" s="391"/>
      <c r="O168" s="392"/>
      <c r="P168" s="392"/>
      <c r="Q168" s="414"/>
    </row>
    <row r="169" ht="16.95" customHeight="1" spans="9:17">
      <c r="I169" s="396"/>
      <c r="J169" s="397"/>
      <c r="K169" s="390"/>
      <c r="L169" s="390"/>
      <c r="M169" s="390"/>
      <c r="N169" s="398"/>
      <c r="O169" s="187"/>
      <c r="P169" s="187"/>
      <c r="Q169" s="416"/>
    </row>
    <row r="170" ht="16.95" customHeight="1" spans="9:17">
      <c r="I170" s="396"/>
      <c r="J170" s="397"/>
      <c r="K170" s="390"/>
      <c r="L170" s="390"/>
      <c r="M170" s="390"/>
      <c r="N170" s="398"/>
      <c r="O170" s="187"/>
      <c r="P170" s="187"/>
      <c r="Q170" s="416"/>
    </row>
    <row r="171" ht="16.95" customHeight="1" spans="9:17">
      <c r="I171" s="396"/>
      <c r="J171" s="397"/>
      <c r="K171" s="390"/>
      <c r="L171" s="390"/>
      <c r="M171" s="390"/>
      <c r="N171" s="398"/>
      <c r="O171" s="187"/>
      <c r="P171" s="187"/>
      <c r="Q171" s="416"/>
    </row>
    <row r="172" ht="16.95" customHeight="1" spans="9:17">
      <c r="I172" s="396"/>
      <c r="J172" s="397"/>
      <c r="K172" s="390"/>
      <c r="L172" s="390"/>
      <c r="M172" s="390"/>
      <c r="N172" s="398"/>
      <c r="O172" s="187"/>
      <c r="P172" s="187"/>
      <c r="Q172" s="416"/>
    </row>
    <row r="173" ht="16.95" customHeight="1" spans="9:17">
      <c r="I173" s="366"/>
      <c r="J173" s="389"/>
      <c r="K173" s="390"/>
      <c r="L173" s="390"/>
      <c r="M173" s="390"/>
      <c r="N173" s="391"/>
      <c r="O173" s="392"/>
      <c r="P173" s="392"/>
      <c r="Q173" s="414"/>
    </row>
    <row r="174" ht="16.95" customHeight="1" spans="9:17">
      <c r="I174" s="366"/>
      <c r="J174" s="389"/>
      <c r="K174" s="390"/>
      <c r="L174" s="390"/>
      <c r="M174" s="390"/>
      <c r="N174" s="391"/>
      <c r="O174" s="392"/>
      <c r="P174" s="392"/>
      <c r="Q174" s="414"/>
    </row>
    <row r="175" ht="16.95" customHeight="1" spans="9:17">
      <c r="I175" s="399"/>
      <c r="J175" s="400"/>
      <c r="K175" s="390"/>
      <c r="L175" s="390"/>
      <c r="M175" s="390"/>
      <c r="N175" s="401"/>
      <c r="O175" s="402"/>
      <c r="P175" s="402"/>
      <c r="Q175" s="417"/>
    </row>
    <row r="176" ht="16.95" customHeight="1" spans="9:17">
      <c r="I176" s="399"/>
      <c r="J176" s="400"/>
      <c r="K176" s="390"/>
      <c r="L176" s="390"/>
      <c r="M176" s="390"/>
      <c r="N176" s="401"/>
      <c r="O176" s="403"/>
      <c r="P176" s="403"/>
      <c r="Q176" s="418"/>
    </row>
    <row r="177" ht="16.95" customHeight="1" spans="9:17">
      <c r="I177" s="399"/>
      <c r="J177" s="400"/>
      <c r="K177" s="390"/>
      <c r="L177" s="390"/>
      <c r="M177" s="390"/>
      <c r="N177" s="401"/>
      <c r="O177" s="403"/>
      <c r="P177" s="403"/>
      <c r="Q177" s="417"/>
    </row>
    <row r="178" ht="16.95" customHeight="1" spans="9:17">
      <c r="I178" s="404"/>
      <c r="J178" s="405"/>
      <c r="K178" s="390"/>
      <c r="L178" s="390"/>
      <c r="M178" s="390"/>
      <c r="N178" s="406"/>
      <c r="O178" s="392"/>
      <c r="P178" s="392"/>
      <c r="Q178" s="419"/>
    </row>
    <row r="179" ht="16.95" customHeight="1" spans="9:17">
      <c r="I179" s="366"/>
      <c r="J179" s="389"/>
      <c r="K179" s="390"/>
      <c r="L179" s="390"/>
      <c r="M179" s="390"/>
      <c r="N179" s="391"/>
      <c r="O179" s="392"/>
      <c r="P179" s="392"/>
      <c r="Q179" s="414"/>
    </row>
    <row r="180" ht="16.95" customHeight="1" spans="9:17">
      <c r="I180" s="366"/>
      <c r="J180" s="407"/>
      <c r="K180" s="408"/>
      <c r="L180" s="408"/>
      <c r="M180" s="408"/>
      <c r="N180" s="409"/>
      <c r="O180" s="410"/>
      <c r="P180" s="410"/>
      <c r="Q180" s="420"/>
    </row>
  </sheetData>
  <mergeCells count="7">
    <mergeCell ref="O160:P160"/>
    <mergeCell ref="J160:J161"/>
    <mergeCell ref="K160:K161"/>
    <mergeCell ref="L160:L161"/>
    <mergeCell ref="M160:M161"/>
    <mergeCell ref="N160:N161"/>
    <mergeCell ref="Q160:Q161"/>
  </mergeCells>
  <dataValidations count="5">
    <dataValidation type="list" allowBlank="1" showInputMessage="1" showErrorMessage="1" sqref="F134:F166">
      <formula1>$B$134:$B$180</formula1>
    </dataValidation>
    <dataValidation type="list" allowBlank="1" showInputMessage="1" showErrorMessage="1" sqref="I156:I158">
      <formula1>"√,×"</formula1>
    </dataValidation>
    <dataValidation type="list" allowBlank="1" showInputMessage="1" showErrorMessage="1" sqref="K162:K180">
      <formula1>科目表</formula1>
    </dataValidation>
    <dataValidation type="list" allowBlank="1" showInputMessage="1" showErrorMessage="1" sqref="L162:L180">
      <formula1>二级科目</formula1>
    </dataValidation>
    <dataValidation type="list" allowBlank="1" showInputMessage="1" showErrorMessage="1" sqref="M162:M180">
      <formula1>三级科目</formula1>
    </dataValidation>
  </dataValidations>
  <hyperlinks>
    <hyperlink ref="A1" location="'目录'!C7" display="&lt;&lt;"/>
  </hyperlinks>
  <printOptions horizontalCentered="1"/>
  <pageMargins left="0" right="0" top="0.78740157480315" bottom="0.393700787401575" header="0" footer="0"/>
  <pageSetup paperSize="9" scale="61" fitToHeight="0" orientation="landscape" blackAndWhite="1"/>
  <headerFooter alignWithMargins="0"/>
  <ignoredErrors>
    <ignoredError sqref="E25:E118" unlockedFormula="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92D050"/>
    <pageSetUpPr fitToPage="1"/>
  </sheetPr>
  <dimension ref="A1:S67"/>
  <sheetViews>
    <sheetView showGridLines="0" tabSelected="1" workbookViewId="0">
      <pane ySplit="6" topLeftCell="A7" activePane="bottomLeft" state="frozen"/>
      <selection/>
      <selection pane="bottomLeft" activeCell="I8" sqref="I8"/>
    </sheetView>
  </sheetViews>
  <sheetFormatPr defaultColWidth="9" defaultRowHeight="13.1"/>
  <cols>
    <col min="1" max="1" width="2.7" style="225" customWidth="1"/>
    <col min="2" max="2" width="8.6" style="225" customWidth="1"/>
    <col min="3" max="3" width="18.6" style="225" customWidth="1"/>
    <col min="4" max="4" width="12.6" style="225" customWidth="1"/>
    <col min="5" max="5" width="9.6" style="225" customWidth="1"/>
    <col min="6" max="6" width="11.6" style="225" customWidth="1"/>
    <col min="7" max="7" width="9.6" style="225" customWidth="1"/>
    <col min="8" max="8" width="12.6" style="225" customWidth="1"/>
    <col min="9" max="10" width="9.6" style="225" customWidth="1"/>
    <col min="11" max="11" width="15.1" style="225" customWidth="1"/>
    <col min="12" max="12" width="9" style="225"/>
    <col min="13" max="13" width="14" style="225" customWidth="1"/>
    <col min="14" max="14" width="10.5" style="225" customWidth="1"/>
    <col min="15" max="16384" width="9" style="225"/>
  </cols>
  <sheetData>
    <row r="1" s="222" customFormat="1" ht="28.5" customHeight="1" spans="1:19">
      <c r="A1" s="226" t="s">
        <v>40</v>
      </c>
      <c r="B1" s="177" t="s">
        <v>33</v>
      </c>
      <c r="C1" s="227"/>
      <c r="D1" s="228"/>
      <c r="E1" s="228"/>
      <c r="F1" s="229"/>
      <c r="G1" s="230"/>
      <c r="H1" s="231"/>
      <c r="I1" s="235"/>
      <c r="J1" s="287" t="s">
        <v>42</v>
      </c>
      <c r="K1" s="100" t="str">
        <f>目录!E8</f>
        <v>4110-4</v>
      </c>
      <c r="L1" s="235"/>
      <c r="M1" s="235"/>
      <c r="N1" s="235"/>
      <c r="O1" s="235"/>
      <c r="P1" s="235"/>
      <c r="Q1" s="235"/>
      <c r="R1" s="235"/>
      <c r="S1" s="235"/>
    </row>
    <row r="2" s="222" customFormat="1" ht="25.95" customHeight="1" spans="1:8">
      <c r="A2" s="232"/>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233"/>
      <c r="D2" s="233"/>
      <c r="E2" s="233"/>
      <c r="F2" s="233"/>
      <c r="G2" s="233"/>
      <c r="H2" s="233"/>
    </row>
    <row r="3" s="222" customFormat="1" ht="12" customHeight="1" spans="1:7">
      <c r="A3" s="234"/>
      <c r="B3" s="235"/>
      <c r="C3" s="236"/>
      <c r="D3" s="235"/>
      <c r="E3" s="237"/>
      <c r="F3" s="235"/>
      <c r="G3" s="236"/>
    </row>
    <row r="4" ht="13.5" customHeight="1" spans="2:11">
      <c r="B4" s="594" t="s">
        <v>62</v>
      </c>
      <c r="C4" s="595" t="s">
        <v>125</v>
      </c>
      <c r="D4" s="240" t="s">
        <v>197</v>
      </c>
      <c r="E4" s="241"/>
      <c r="F4" s="241" t="s">
        <v>198</v>
      </c>
      <c r="G4" s="241"/>
      <c r="H4" s="242" t="s">
        <v>199</v>
      </c>
      <c r="I4" s="242"/>
      <c r="J4" s="242"/>
      <c r="K4" s="288" t="s">
        <v>200</v>
      </c>
    </row>
    <row r="5" ht="13.5" customHeight="1" spans="1:11">
      <c r="A5" s="243"/>
      <c r="B5" s="244"/>
      <c r="C5" s="245"/>
      <c r="D5" s="246" t="s">
        <v>201</v>
      </c>
      <c r="E5" s="246" t="s">
        <v>202</v>
      </c>
      <c r="F5" s="246" t="s">
        <v>201</v>
      </c>
      <c r="G5" s="246" t="s">
        <v>202</v>
      </c>
      <c r="H5" s="246" t="s">
        <v>203</v>
      </c>
      <c r="I5" s="246" t="s">
        <v>204</v>
      </c>
      <c r="J5" s="246" t="s">
        <v>205</v>
      </c>
      <c r="K5" s="289"/>
    </row>
    <row r="6" spans="1:11">
      <c r="A6" s="247"/>
      <c r="B6" s="244"/>
      <c r="C6" s="245"/>
      <c r="D6" s="246" t="s">
        <v>50</v>
      </c>
      <c r="E6" s="246" t="s">
        <v>53</v>
      </c>
      <c r="F6" s="246" t="s">
        <v>55</v>
      </c>
      <c r="G6" s="246" t="s">
        <v>57</v>
      </c>
      <c r="H6" s="246" t="s">
        <v>206</v>
      </c>
      <c r="I6" s="246" t="s">
        <v>207</v>
      </c>
      <c r="J6" s="246" t="s">
        <v>208</v>
      </c>
      <c r="K6" s="289"/>
    </row>
    <row r="7" ht="13.5" customHeight="1" spans="1:11">
      <c r="A7" s="243"/>
      <c r="B7" s="248" t="s">
        <v>209</v>
      </c>
      <c r="C7" s="249"/>
      <c r="D7" s="250">
        <f>SUM(D8:D40)</f>
        <v>2095612.66</v>
      </c>
      <c r="E7" s="251">
        <f>SUM(E8:E40)</f>
        <v>1</v>
      </c>
      <c r="F7" s="250">
        <f>SUM(F8:F40)</f>
        <v>1904775.22</v>
      </c>
      <c r="G7" s="251">
        <f>SUM(G8:G40)</f>
        <v>1</v>
      </c>
      <c r="H7" s="250">
        <f>SUM(H8:H40)</f>
        <v>-190837.44</v>
      </c>
      <c r="I7" s="251">
        <f>IF(H7=0,0,H7/D7)</f>
        <v>-0.0910652257655286</v>
      </c>
      <c r="J7" s="251">
        <f t="shared" ref="J7:J21" si="0">G7-E7</f>
        <v>0</v>
      </c>
      <c r="K7" s="290"/>
    </row>
    <row r="8" ht="13.5" customHeight="1" spans="1:11">
      <c r="A8" s="243"/>
      <c r="B8" s="252">
        <v>1</v>
      </c>
      <c r="C8" s="253" t="str">
        <f>'4110-3'!B134&amp;""</f>
        <v>职工薪酬</v>
      </c>
      <c r="D8" s="254">
        <f>SUMIF('4110-3'!$I$135:$I$153,C8,'4110-3'!$M$135:$M$153)</f>
        <v>0</v>
      </c>
      <c r="E8" s="255">
        <f>IF(D8=0,0,D8/$D$7)</f>
        <v>0</v>
      </c>
      <c r="F8" s="250">
        <f>SUMIF('4110-3'!$E$6:$E$118,'4110-4'!C8,'4110-3'!$T$6:$T$118)</f>
        <v>0</v>
      </c>
      <c r="G8" s="255">
        <f>IF(F8=0,0,F8/$F$7)</f>
        <v>0</v>
      </c>
      <c r="H8" s="250">
        <f>F8-D8</f>
        <v>0</v>
      </c>
      <c r="I8" s="255">
        <f>IF(H8=0,0,H8/D8)</f>
        <v>0</v>
      </c>
      <c r="J8" s="251">
        <f t="shared" si="0"/>
        <v>0</v>
      </c>
      <c r="K8" s="291"/>
    </row>
    <row r="9" ht="13.5" customHeight="1" spans="1:11">
      <c r="A9" s="243"/>
      <c r="B9" s="252">
        <v>2</v>
      </c>
      <c r="C9" s="253" t="str">
        <f>'4110-3'!B135&amp;""</f>
        <v>保险费</v>
      </c>
      <c r="D9" s="254">
        <f>SUMIF('4110-3'!$I$135:$I$153,C9,'4110-3'!$M$135:$M$153)</f>
        <v>0</v>
      </c>
      <c r="E9" s="255">
        <f t="shared" ref="E9:E21" si="1">IF(D9=0,0,D9/$D$7)</f>
        <v>0</v>
      </c>
      <c r="F9" s="250">
        <f>SUMIF('4110-3'!$E$6:$E$118,'4110-4'!C9,'4110-3'!$T$6:$T$118)</f>
        <v>6270.42</v>
      </c>
      <c r="G9" s="255">
        <f t="shared" ref="G9:G21" si="2">IF(F9=0,0,F9/$F$7)</f>
        <v>0.00329194748764109</v>
      </c>
      <c r="H9" s="250">
        <f t="shared" ref="H9:H21" si="3">F9-D9</f>
        <v>6270.42</v>
      </c>
      <c r="I9" s="255" t="e">
        <f t="shared" ref="I9:I21" si="4">IF(H9=0,0,H9/D9)</f>
        <v>#DIV/0!</v>
      </c>
      <c r="J9" s="251">
        <f t="shared" si="0"/>
        <v>0.00329194748764109</v>
      </c>
      <c r="K9" s="291"/>
    </row>
    <row r="10" ht="13.5" customHeight="1" spans="1:11">
      <c r="A10" s="243"/>
      <c r="B10" s="252">
        <v>3</v>
      </c>
      <c r="C10" s="253" t="str">
        <f>'4110-3'!B136&amp;""</f>
        <v>折旧费</v>
      </c>
      <c r="D10" s="254">
        <f>SUMIF('4110-3'!$I$135:$I$153,C10,'4110-3'!$M$135:$M$153)</f>
        <v>1673146.88</v>
      </c>
      <c r="E10" s="255">
        <f t="shared" si="1"/>
        <v>0.798404644110138</v>
      </c>
      <c r="F10" s="250">
        <f>SUMIF('4110-3'!$E$6:$E$118,'4110-4'!C10,'4110-3'!$T$6:$T$118)</f>
        <v>1667185.95</v>
      </c>
      <c r="G10" s="255">
        <f t="shared" si="2"/>
        <v>0.875266505199495</v>
      </c>
      <c r="H10" s="250">
        <f t="shared" si="3"/>
        <v>-5960.93000000017</v>
      </c>
      <c r="I10" s="255">
        <f t="shared" si="4"/>
        <v>-0.00356270574404093</v>
      </c>
      <c r="J10" s="251">
        <f t="shared" si="0"/>
        <v>0.0768618610893572</v>
      </c>
      <c r="K10" s="291"/>
    </row>
    <row r="11" ht="13.5" customHeight="1" spans="1:11">
      <c r="A11" s="256"/>
      <c r="B11" s="252">
        <v>4</v>
      </c>
      <c r="C11" s="253" t="str">
        <f>'4110-3'!B137&amp;""</f>
        <v>修理费</v>
      </c>
      <c r="D11" s="254">
        <f>SUMIF('4110-3'!$I$135:$I$153,C11,'4110-3'!$M$135:$M$153)</f>
        <v>0</v>
      </c>
      <c r="E11" s="255">
        <f t="shared" si="1"/>
        <v>0</v>
      </c>
      <c r="F11" s="250">
        <f>SUMIF('4110-3'!$E$6:$E$118,'4110-4'!C11,'4110-3'!$T$6:$T$118)</f>
        <v>0</v>
      </c>
      <c r="G11" s="255">
        <f t="shared" si="2"/>
        <v>0</v>
      </c>
      <c r="H11" s="250">
        <f t="shared" si="3"/>
        <v>0</v>
      </c>
      <c r="I11" s="255">
        <f t="shared" si="4"/>
        <v>0</v>
      </c>
      <c r="J11" s="251">
        <f t="shared" si="0"/>
        <v>0</v>
      </c>
      <c r="K11" s="291"/>
    </row>
    <row r="12" ht="13.5" customHeight="1" spans="1:11">
      <c r="A12" s="256"/>
      <c r="B12" s="252">
        <v>5</v>
      </c>
      <c r="C12" s="253" t="str">
        <f>'4110-3'!B138&amp;""</f>
        <v>无形资产摊销</v>
      </c>
      <c r="D12" s="254">
        <f>SUMIF('4110-3'!$I$135:$I$153,C12,'4110-3'!$M$135:$M$153)</f>
        <v>200821.29</v>
      </c>
      <c r="E12" s="255">
        <f t="shared" si="1"/>
        <v>0.0958293933956288</v>
      </c>
      <c r="F12" s="250">
        <f>SUMIF('4110-3'!$E$6:$E$118,'4110-4'!C12,'4110-3'!$T$6:$T$118)</f>
        <v>200821.29</v>
      </c>
      <c r="G12" s="255">
        <f t="shared" si="2"/>
        <v>0.105430440238508</v>
      </c>
      <c r="H12" s="250">
        <f t="shared" si="3"/>
        <v>0</v>
      </c>
      <c r="I12" s="255">
        <f t="shared" si="4"/>
        <v>0</v>
      </c>
      <c r="J12" s="251">
        <f t="shared" si="0"/>
        <v>0.00960104684287877</v>
      </c>
      <c r="K12" s="291"/>
    </row>
    <row r="13" ht="13.5" customHeight="1" spans="1:11">
      <c r="A13" s="256"/>
      <c r="B13" s="252">
        <v>6</v>
      </c>
      <c r="C13" s="253" t="str">
        <f>'4110-3'!B139&amp;""</f>
        <v>存货盘亏</v>
      </c>
      <c r="D13" s="254">
        <f>SUMIF('4110-3'!$I$135:$I$153,C13,'4110-3'!$M$135:$M$153)</f>
        <v>0</v>
      </c>
      <c r="E13" s="255">
        <f t="shared" si="1"/>
        <v>0</v>
      </c>
      <c r="F13" s="250">
        <f>SUMIF('4110-3'!$E$6:$E$118,'4110-4'!C13,'4110-3'!$T$6:$T$118)</f>
        <v>0</v>
      </c>
      <c r="G13" s="255">
        <f t="shared" si="2"/>
        <v>0</v>
      </c>
      <c r="H13" s="250">
        <f t="shared" si="3"/>
        <v>0</v>
      </c>
      <c r="I13" s="255">
        <f t="shared" si="4"/>
        <v>0</v>
      </c>
      <c r="J13" s="251">
        <f t="shared" si="0"/>
        <v>0</v>
      </c>
      <c r="K13" s="291"/>
    </row>
    <row r="14" ht="13.5" customHeight="1" spans="1:11">
      <c r="A14" s="256"/>
      <c r="B14" s="257">
        <v>7</v>
      </c>
      <c r="C14" s="253" t="str">
        <f>'4110-3'!B140&amp;""</f>
        <v>业务招待费</v>
      </c>
      <c r="D14" s="254">
        <f>SUMIF('4110-3'!$I$135:$I$153,C14,'4110-3'!$M$135:$M$153)</f>
        <v>0</v>
      </c>
      <c r="E14" s="255">
        <f t="shared" si="1"/>
        <v>0</v>
      </c>
      <c r="F14" s="250">
        <f>SUMIF('4110-3'!$E$6:$E$118,'4110-4'!C14,'4110-3'!$T$6:$T$118)</f>
        <v>0</v>
      </c>
      <c r="G14" s="255">
        <f t="shared" si="2"/>
        <v>0</v>
      </c>
      <c r="H14" s="250">
        <f t="shared" si="3"/>
        <v>0</v>
      </c>
      <c r="I14" s="255">
        <f t="shared" si="4"/>
        <v>0</v>
      </c>
      <c r="J14" s="251">
        <f t="shared" si="0"/>
        <v>0</v>
      </c>
      <c r="K14" s="291"/>
    </row>
    <row r="15" ht="13.5" customHeight="1" spans="1:11">
      <c r="A15" s="258"/>
      <c r="B15" s="257">
        <v>8</v>
      </c>
      <c r="C15" s="253" t="str">
        <f>'4110-3'!B141&amp;""</f>
        <v>差旅费</v>
      </c>
      <c r="D15" s="254">
        <f>SUMIF('4110-3'!$I$135:$I$153,C15,'4110-3'!$M$135:$M$153)</f>
        <v>0</v>
      </c>
      <c r="E15" s="255">
        <f t="shared" si="1"/>
        <v>0</v>
      </c>
      <c r="F15" s="250">
        <f>SUMIF('4110-3'!$E$6:$E$118,'4110-4'!C15,'4110-3'!$T$6:$T$118)</f>
        <v>0</v>
      </c>
      <c r="G15" s="255">
        <f t="shared" si="2"/>
        <v>0</v>
      </c>
      <c r="H15" s="250">
        <f t="shared" si="3"/>
        <v>0</v>
      </c>
      <c r="I15" s="255">
        <f t="shared" si="4"/>
        <v>0</v>
      </c>
      <c r="J15" s="251">
        <f t="shared" si="0"/>
        <v>0</v>
      </c>
      <c r="K15" s="291"/>
    </row>
    <row r="16" ht="13.5" customHeight="1" spans="2:11">
      <c r="B16" s="257">
        <v>9</v>
      </c>
      <c r="C16" s="253" t="str">
        <f>'4110-3'!B142&amp;""</f>
        <v>办公费</v>
      </c>
      <c r="D16" s="254">
        <f>SUMIF('4110-3'!$I$135:$I$153,C16,'4110-3'!$M$135:$M$153)</f>
        <v>280</v>
      </c>
      <c r="E16" s="255">
        <f t="shared" si="1"/>
        <v>0.000133612477794441</v>
      </c>
      <c r="F16" s="250">
        <f>SUMIF('4110-3'!$E$6:$E$118,'4110-4'!C16,'4110-3'!$T$6:$T$118)</f>
        <v>0</v>
      </c>
      <c r="G16" s="255">
        <f t="shared" si="2"/>
        <v>0</v>
      </c>
      <c r="H16" s="250">
        <f t="shared" si="3"/>
        <v>-280</v>
      </c>
      <c r="I16" s="255">
        <f t="shared" si="4"/>
        <v>-1</v>
      </c>
      <c r="J16" s="251">
        <f t="shared" si="0"/>
        <v>-0.000133612477794441</v>
      </c>
      <c r="K16" s="291"/>
    </row>
    <row r="17" ht="13.5" customHeight="1" spans="2:11">
      <c r="B17" s="257">
        <v>10</v>
      </c>
      <c r="C17" s="253" t="str">
        <f>'4110-3'!B143&amp;""</f>
        <v>会议费</v>
      </c>
      <c r="D17" s="254">
        <f>SUMIF('4110-3'!$I$135:$I$153,C17,'4110-3'!$M$135:$M$153)</f>
        <v>0</v>
      </c>
      <c r="E17" s="255">
        <f t="shared" si="1"/>
        <v>0</v>
      </c>
      <c r="F17" s="250">
        <f>SUMIF('4110-3'!$E$6:$E$118,'4110-4'!C17,'4110-3'!$T$6:$T$118)</f>
        <v>0</v>
      </c>
      <c r="G17" s="255">
        <f t="shared" si="2"/>
        <v>0</v>
      </c>
      <c r="H17" s="250">
        <f t="shared" si="3"/>
        <v>0</v>
      </c>
      <c r="I17" s="255">
        <f t="shared" si="4"/>
        <v>0</v>
      </c>
      <c r="J17" s="251">
        <f t="shared" si="0"/>
        <v>0</v>
      </c>
      <c r="K17" s="291"/>
    </row>
    <row r="18" ht="13.5" customHeight="1" spans="2:11">
      <c r="B18" s="257">
        <v>11</v>
      </c>
      <c r="C18" s="253" t="str">
        <f>'4110-3'!B144&amp;""</f>
        <v>诉讼费</v>
      </c>
      <c r="D18" s="254">
        <f>SUMIF('4110-3'!$I$135:$I$153,C18,'4110-3'!$M$135:$M$153)</f>
        <v>0</v>
      </c>
      <c r="E18" s="255">
        <f t="shared" si="1"/>
        <v>0</v>
      </c>
      <c r="F18" s="250">
        <f>SUMIF('4110-3'!$E$6:$E$118,'4110-4'!C18,'4110-3'!$T$6:$T$118)</f>
        <v>0</v>
      </c>
      <c r="G18" s="255">
        <f t="shared" si="2"/>
        <v>0</v>
      </c>
      <c r="H18" s="250">
        <f t="shared" si="3"/>
        <v>0</v>
      </c>
      <c r="I18" s="255">
        <f t="shared" si="4"/>
        <v>0</v>
      </c>
      <c r="J18" s="251">
        <f t="shared" si="0"/>
        <v>0</v>
      </c>
      <c r="K18" s="291"/>
    </row>
    <row r="19" ht="13.5" customHeight="1" spans="2:11">
      <c r="B19" s="257">
        <v>12</v>
      </c>
      <c r="C19" s="253" t="str">
        <f>'4110-3'!B145&amp;""</f>
        <v>聘请中介机构费</v>
      </c>
      <c r="D19" s="254">
        <f>SUMIF('4110-3'!$I$135:$I$153,C19,'4110-3'!$M$135:$M$153)</f>
        <v>24751.45</v>
      </c>
      <c r="E19" s="255">
        <f t="shared" si="1"/>
        <v>0.0118110805839472</v>
      </c>
      <c r="F19" s="250">
        <f>SUMIF('4110-3'!$E$6:$E$118,'4110-4'!C19,'4110-3'!$T$6:$T$118)</f>
        <v>13700</v>
      </c>
      <c r="G19" s="255">
        <f t="shared" si="2"/>
        <v>0.00719244972118022</v>
      </c>
      <c r="H19" s="250">
        <f t="shared" si="3"/>
        <v>-11051.45</v>
      </c>
      <c r="I19" s="255">
        <f t="shared" si="4"/>
        <v>-0.446497073908801</v>
      </c>
      <c r="J19" s="251">
        <f t="shared" si="0"/>
        <v>-0.004618630862767</v>
      </c>
      <c r="K19" s="291"/>
    </row>
    <row r="20" ht="13.5" customHeight="1" spans="2:11">
      <c r="B20" s="257">
        <v>13</v>
      </c>
      <c r="C20" s="253" t="str">
        <f>'4110-3'!B146&amp;""</f>
        <v>咨询费</v>
      </c>
      <c r="D20" s="254">
        <f>SUMIF('4110-3'!$I$135:$I$153,C20,'4110-3'!$M$135:$M$153)</f>
        <v>0</v>
      </c>
      <c r="E20" s="255">
        <f t="shared" si="1"/>
        <v>0</v>
      </c>
      <c r="F20" s="250">
        <f>SUMIF('4110-3'!$E$6:$E$118,'4110-4'!C20,'4110-3'!$T$6:$T$118)</f>
        <v>0</v>
      </c>
      <c r="G20" s="255">
        <f t="shared" si="2"/>
        <v>0</v>
      </c>
      <c r="H20" s="250">
        <f t="shared" si="3"/>
        <v>0</v>
      </c>
      <c r="I20" s="255">
        <f t="shared" si="4"/>
        <v>0</v>
      </c>
      <c r="J20" s="251">
        <f t="shared" si="0"/>
        <v>0</v>
      </c>
      <c r="K20" s="291"/>
    </row>
    <row r="21" ht="13.5" customHeight="1" spans="2:11">
      <c r="B21" s="257">
        <v>14</v>
      </c>
      <c r="C21" s="253" t="str">
        <f>'4110-3'!B147&amp;""</f>
        <v>技术转让费</v>
      </c>
      <c r="D21" s="254">
        <f>SUMIF('4110-3'!$I$135:$I$153,C21,'4110-3'!$M$135:$M$153)</f>
        <v>0</v>
      </c>
      <c r="E21" s="255">
        <f t="shared" si="1"/>
        <v>0</v>
      </c>
      <c r="F21" s="250">
        <f>SUMIF('4110-3'!$E$6:$E$118,'4110-4'!C21,'4110-3'!$T$6:$T$118)</f>
        <v>0</v>
      </c>
      <c r="G21" s="255">
        <f t="shared" si="2"/>
        <v>0</v>
      </c>
      <c r="H21" s="250">
        <f t="shared" si="3"/>
        <v>0</v>
      </c>
      <c r="I21" s="255">
        <f t="shared" si="4"/>
        <v>0</v>
      </c>
      <c r="J21" s="251">
        <f t="shared" si="0"/>
        <v>0</v>
      </c>
      <c r="K21" s="291"/>
    </row>
    <row r="22" ht="13.5" customHeight="1" spans="2:11">
      <c r="B22" s="257">
        <v>15</v>
      </c>
      <c r="C22" s="253" t="str">
        <f>'4110-3'!B148&amp;""</f>
        <v>董事会费</v>
      </c>
      <c r="D22" s="254">
        <f>SUMIF('4110-3'!$I$135:$I$153,C22,'4110-3'!$M$135:$M$153)</f>
        <v>0</v>
      </c>
      <c r="E22" s="255">
        <f t="shared" ref="E22:E40" si="5">IF(D22=0,0,D22/$D$7)</f>
        <v>0</v>
      </c>
      <c r="F22" s="250">
        <f>SUMIF('4110-3'!$E$6:$E$118,'4110-4'!C22,'4110-3'!$T$6:$T$118)</f>
        <v>0</v>
      </c>
      <c r="G22" s="255">
        <f t="shared" ref="G22:G40" si="6">IF(F22=0,0,F22/$F$7)</f>
        <v>0</v>
      </c>
      <c r="H22" s="250">
        <f t="shared" ref="H22:H40" si="7">F22-D22</f>
        <v>0</v>
      </c>
      <c r="I22" s="255">
        <f t="shared" ref="I22:I40" si="8">IF(H22=0,0,H22/D22)</f>
        <v>0</v>
      </c>
      <c r="J22" s="251">
        <f t="shared" ref="J22:J40" si="9">G22-E22</f>
        <v>0</v>
      </c>
      <c r="K22" s="291"/>
    </row>
    <row r="23" ht="13.5" customHeight="1" spans="2:11">
      <c r="B23" s="257">
        <v>16</v>
      </c>
      <c r="C23" s="253" t="str">
        <f>'4110-3'!B149&amp;""</f>
        <v>排污费</v>
      </c>
      <c r="D23" s="254">
        <f>SUMIF('4110-3'!$I$135:$I$153,C23,'4110-3'!$M$135:$M$153)</f>
        <v>0</v>
      </c>
      <c r="E23" s="255">
        <f t="shared" si="5"/>
        <v>0</v>
      </c>
      <c r="F23" s="250">
        <f>SUMIF('4110-3'!$E$6:$E$118,'4110-4'!C23,'4110-3'!$T$6:$T$118)</f>
        <v>0</v>
      </c>
      <c r="G23" s="255">
        <f t="shared" si="6"/>
        <v>0</v>
      </c>
      <c r="H23" s="250">
        <f t="shared" si="7"/>
        <v>0</v>
      </c>
      <c r="I23" s="255">
        <f t="shared" si="8"/>
        <v>0</v>
      </c>
      <c r="J23" s="251">
        <f t="shared" si="9"/>
        <v>0</v>
      </c>
      <c r="K23" s="291"/>
    </row>
    <row r="24" ht="13.5" customHeight="1" spans="2:11">
      <c r="B24" s="257">
        <v>17</v>
      </c>
      <c r="C24" s="253" t="str">
        <f>'4110-3'!B150&amp;""</f>
        <v>其他</v>
      </c>
      <c r="D24" s="254">
        <f>SUMIF('4110-3'!$I$135:$I$153,C24,'4110-3'!$M$135:$M$153)</f>
        <v>196613.04</v>
      </c>
      <c r="E24" s="255">
        <f t="shared" si="5"/>
        <v>0.0938212694324914</v>
      </c>
      <c r="F24" s="250">
        <f>SUMIF('4110-3'!$E$6:$E$118,'4110-4'!C24,'4110-3'!$T$6:$T$118)</f>
        <v>16797.56</v>
      </c>
      <c r="G24" s="255">
        <f t="shared" si="6"/>
        <v>0.00881865735317577</v>
      </c>
      <c r="H24" s="250">
        <f t="shared" si="7"/>
        <v>-179815.48</v>
      </c>
      <c r="I24" s="255">
        <f t="shared" si="8"/>
        <v>-0.914565381828184</v>
      </c>
      <c r="J24" s="251">
        <f t="shared" si="9"/>
        <v>-0.0850026120793156</v>
      </c>
      <c r="K24" s="291"/>
    </row>
    <row r="25" ht="13.5" customHeight="1" spans="2:11">
      <c r="B25" s="257">
        <v>18</v>
      </c>
      <c r="C25" s="253" t="str">
        <f>'4110-3'!B151&amp;""</f>
        <v/>
      </c>
      <c r="D25" s="254">
        <f>SUMIF('4110-3'!$I$135:$I$153,C25,'4110-3'!$M$135:$M$153)</f>
        <v>0</v>
      </c>
      <c r="E25" s="255">
        <f t="shared" si="5"/>
        <v>0</v>
      </c>
      <c r="F25" s="250">
        <f>SUMIF('4110-3'!$E$6:$E$118,'4110-4'!C25,'4110-3'!$T$6:$T$118)</f>
        <v>0</v>
      </c>
      <c r="G25" s="255">
        <f t="shared" si="6"/>
        <v>0</v>
      </c>
      <c r="H25" s="250">
        <f t="shared" si="7"/>
        <v>0</v>
      </c>
      <c r="I25" s="255">
        <f t="shared" si="8"/>
        <v>0</v>
      </c>
      <c r="J25" s="251">
        <f t="shared" si="9"/>
        <v>0</v>
      </c>
      <c r="K25" s="291"/>
    </row>
    <row r="26" ht="13.5" customHeight="1" spans="2:11">
      <c r="B26" s="257">
        <v>19</v>
      </c>
      <c r="C26" s="253" t="str">
        <f>'4110-3'!B152&amp;""</f>
        <v/>
      </c>
      <c r="D26" s="254">
        <f>SUMIF('4110-3'!$I$135:$I$153,C26,'4110-3'!$M$135:$M$153)</f>
        <v>0</v>
      </c>
      <c r="E26" s="255">
        <f t="shared" si="5"/>
        <v>0</v>
      </c>
      <c r="F26" s="250">
        <f>SUMIF('4110-3'!$E$6:$E$118,'4110-4'!C26,'4110-3'!$T$6:$T$118)</f>
        <v>0</v>
      </c>
      <c r="G26" s="255">
        <f t="shared" si="6"/>
        <v>0</v>
      </c>
      <c r="H26" s="250">
        <f t="shared" si="7"/>
        <v>0</v>
      </c>
      <c r="I26" s="255">
        <f t="shared" si="8"/>
        <v>0</v>
      </c>
      <c r="J26" s="251">
        <f t="shared" si="9"/>
        <v>0</v>
      </c>
      <c r="K26" s="291"/>
    </row>
    <row r="27" ht="13.5" customHeight="1" spans="2:11">
      <c r="B27" s="257">
        <v>20</v>
      </c>
      <c r="C27" s="253" t="str">
        <f>'4110-3'!B153&amp;""</f>
        <v/>
      </c>
      <c r="D27" s="254">
        <f>SUMIF('4110-3'!$I$135:$I$153,C27,'4110-3'!$M$135:$M$153)</f>
        <v>0</v>
      </c>
      <c r="E27" s="255">
        <f t="shared" si="5"/>
        <v>0</v>
      </c>
      <c r="F27" s="250">
        <f>SUMIF('4110-3'!$E$6:$E$118,'4110-4'!C27,'4110-3'!$T$6:$T$118)</f>
        <v>0</v>
      </c>
      <c r="G27" s="255">
        <f t="shared" si="6"/>
        <v>0</v>
      </c>
      <c r="H27" s="250">
        <f t="shared" si="7"/>
        <v>0</v>
      </c>
      <c r="I27" s="255">
        <f t="shared" si="8"/>
        <v>0</v>
      </c>
      <c r="J27" s="251">
        <f t="shared" si="9"/>
        <v>0</v>
      </c>
      <c r="K27" s="291"/>
    </row>
    <row r="28" ht="13.5" customHeight="1" spans="2:11">
      <c r="B28" s="257">
        <v>21</v>
      </c>
      <c r="C28" s="253" t="str">
        <f>'4110-3'!B154&amp;""</f>
        <v/>
      </c>
      <c r="D28" s="254">
        <f>SUMIF('4110-3'!$I$135:$I$153,C28,'4110-3'!$M$135:$M$153)</f>
        <v>0</v>
      </c>
      <c r="E28" s="255">
        <f t="shared" si="5"/>
        <v>0</v>
      </c>
      <c r="F28" s="250">
        <f>SUMIF('4110-3'!$E$6:$E$118,'4110-4'!C28,'4110-3'!$T$6:$T$118)</f>
        <v>0</v>
      </c>
      <c r="G28" s="255">
        <f t="shared" si="6"/>
        <v>0</v>
      </c>
      <c r="H28" s="250">
        <f t="shared" si="7"/>
        <v>0</v>
      </c>
      <c r="I28" s="255">
        <f t="shared" si="8"/>
        <v>0</v>
      </c>
      <c r="J28" s="251">
        <f t="shared" si="9"/>
        <v>0</v>
      </c>
      <c r="K28" s="291"/>
    </row>
    <row r="29" ht="13.5" customHeight="1" spans="2:11">
      <c r="B29" s="257">
        <v>22</v>
      </c>
      <c r="C29" s="253" t="str">
        <f>'4110-3'!B155&amp;""</f>
        <v/>
      </c>
      <c r="D29" s="254">
        <f>SUMIF('4110-3'!$I$135:$I$153,C29,'4110-3'!$M$135:$M$153)</f>
        <v>0</v>
      </c>
      <c r="E29" s="255">
        <f t="shared" si="5"/>
        <v>0</v>
      </c>
      <c r="F29" s="250">
        <f>SUMIF('4110-3'!$E$6:$E$118,'4110-4'!C29,'4110-3'!$T$6:$T$118)</f>
        <v>0</v>
      </c>
      <c r="G29" s="255">
        <f t="shared" si="6"/>
        <v>0</v>
      </c>
      <c r="H29" s="250">
        <f t="shared" si="7"/>
        <v>0</v>
      </c>
      <c r="I29" s="255">
        <f t="shared" si="8"/>
        <v>0</v>
      </c>
      <c r="J29" s="251">
        <f t="shared" si="9"/>
        <v>0</v>
      </c>
      <c r="K29" s="291"/>
    </row>
    <row r="30" ht="13.5" customHeight="1" spans="2:11">
      <c r="B30" s="257">
        <v>23</v>
      </c>
      <c r="C30" s="253" t="str">
        <f>'4110-3'!B156&amp;""</f>
        <v/>
      </c>
      <c r="D30" s="254">
        <f>SUMIF('4110-3'!$I$135:$I$153,C30,'4110-3'!$M$135:$M$153)</f>
        <v>0</v>
      </c>
      <c r="E30" s="255">
        <f t="shared" si="5"/>
        <v>0</v>
      </c>
      <c r="F30" s="250">
        <f>SUMIF('4110-3'!$E$6:$E$118,'4110-4'!C30,'4110-3'!$T$6:$T$118)</f>
        <v>0</v>
      </c>
      <c r="G30" s="255">
        <f t="shared" si="6"/>
        <v>0</v>
      </c>
      <c r="H30" s="250">
        <f t="shared" si="7"/>
        <v>0</v>
      </c>
      <c r="I30" s="255">
        <f t="shared" si="8"/>
        <v>0</v>
      </c>
      <c r="J30" s="251">
        <f t="shared" si="9"/>
        <v>0</v>
      </c>
      <c r="K30" s="291"/>
    </row>
    <row r="31" ht="13.5" customHeight="1" spans="2:11">
      <c r="B31" s="257">
        <v>24</v>
      </c>
      <c r="C31" s="253" t="str">
        <f>'4110-3'!B157&amp;""</f>
        <v/>
      </c>
      <c r="D31" s="254">
        <f>SUMIF('4110-3'!$I$135:$I$153,C31,'4110-3'!$M$135:$M$153)</f>
        <v>0</v>
      </c>
      <c r="E31" s="255">
        <f t="shared" si="5"/>
        <v>0</v>
      </c>
      <c r="F31" s="250">
        <f>SUMIF('4110-3'!$E$6:$E$118,'4110-4'!C31,'4110-3'!$T$6:$T$118)</f>
        <v>0</v>
      </c>
      <c r="G31" s="255">
        <f t="shared" si="6"/>
        <v>0</v>
      </c>
      <c r="H31" s="250">
        <f t="shared" si="7"/>
        <v>0</v>
      </c>
      <c r="I31" s="255">
        <f t="shared" si="8"/>
        <v>0</v>
      </c>
      <c r="J31" s="251">
        <f t="shared" si="9"/>
        <v>0</v>
      </c>
      <c r="K31" s="291"/>
    </row>
    <row r="32" ht="13.5" customHeight="1" spans="2:11">
      <c r="B32" s="257">
        <v>25</v>
      </c>
      <c r="C32" s="253" t="str">
        <f>'4110-3'!B158&amp;""</f>
        <v/>
      </c>
      <c r="D32" s="254">
        <f>SUMIF('4110-3'!$I$135:$I$153,C32,'4110-3'!$M$135:$M$153)</f>
        <v>0</v>
      </c>
      <c r="E32" s="255">
        <f t="shared" si="5"/>
        <v>0</v>
      </c>
      <c r="F32" s="250">
        <f>SUMIF('4110-3'!$E$6:$E$118,'4110-4'!C32,'4110-3'!$T$6:$T$118)</f>
        <v>0</v>
      </c>
      <c r="G32" s="255">
        <f t="shared" si="6"/>
        <v>0</v>
      </c>
      <c r="H32" s="250">
        <f t="shared" si="7"/>
        <v>0</v>
      </c>
      <c r="I32" s="255">
        <f t="shared" si="8"/>
        <v>0</v>
      </c>
      <c r="J32" s="251">
        <f t="shared" si="9"/>
        <v>0</v>
      </c>
      <c r="K32" s="291"/>
    </row>
    <row r="33" ht="13.5" customHeight="1" spans="2:11">
      <c r="B33" s="257">
        <v>26</v>
      </c>
      <c r="C33" s="253" t="str">
        <f>'4110-3'!B159&amp;""</f>
        <v/>
      </c>
      <c r="D33" s="254">
        <f>SUMIF('4110-3'!$I$135:$I$153,C33,'4110-3'!$M$135:$M$153)</f>
        <v>0</v>
      </c>
      <c r="E33" s="255">
        <f t="shared" si="5"/>
        <v>0</v>
      </c>
      <c r="F33" s="250">
        <f>SUMIF('4110-3'!$E$6:$E$118,'4110-4'!C33,'4110-3'!$T$6:$T$118)</f>
        <v>0</v>
      </c>
      <c r="G33" s="255">
        <f t="shared" si="6"/>
        <v>0</v>
      </c>
      <c r="H33" s="250">
        <f t="shared" si="7"/>
        <v>0</v>
      </c>
      <c r="I33" s="255">
        <f t="shared" si="8"/>
        <v>0</v>
      </c>
      <c r="J33" s="251">
        <f t="shared" si="9"/>
        <v>0</v>
      </c>
      <c r="K33" s="291"/>
    </row>
    <row r="34" ht="13.5" customHeight="1" spans="2:11">
      <c r="B34" s="257">
        <v>27</v>
      </c>
      <c r="C34" s="253" t="str">
        <f>'4110-3'!B160&amp;""</f>
        <v/>
      </c>
      <c r="D34" s="254">
        <f>SUMIF('4110-3'!$I$135:$I$153,C34,'4110-3'!$M$135:$M$153)</f>
        <v>0</v>
      </c>
      <c r="E34" s="255">
        <f t="shared" si="5"/>
        <v>0</v>
      </c>
      <c r="F34" s="250">
        <f>SUMIF('4110-3'!$E$6:$E$118,'4110-4'!C34,'4110-3'!$T$6:$T$118)</f>
        <v>0</v>
      </c>
      <c r="G34" s="255">
        <f t="shared" si="6"/>
        <v>0</v>
      </c>
      <c r="H34" s="250">
        <f t="shared" si="7"/>
        <v>0</v>
      </c>
      <c r="I34" s="255">
        <f t="shared" si="8"/>
        <v>0</v>
      </c>
      <c r="J34" s="251">
        <f t="shared" si="9"/>
        <v>0</v>
      </c>
      <c r="K34" s="291"/>
    </row>
    <row r="35" ht="13.5" customHeight="1" spans="2:11">
      <c r="B35" s="257">
        <v>28</v>
      </c>
      <c r="C35" s="253" t="str">
        <f>'4110-3'!B161&amp;""</f>
        <v/>
      </c>
      <c r="D35" s="254">
        <f>SUMIF('4110-3'!$I$135:$I$153,C35,'4110-3'!$M$135:$M$153)</f>
        <v>0</v>
      </c>
      <c r="E35" s="255">
        <f t="shared" si="5"/>
        <v>0</v>
      </c>
      <c r="F35" s="250">
        <f>SUMIF('4110-3'!$E$6:$E$118,'4110-4'!C35,'4110-3'!$T$6:$T$118)</f>
        <v>0</v>
      </c>
      <c r="G35" s="255">
        <f t="shared" si="6"/>
        <v>0</v>
      </c>
      <c r="H35" s="250">
        <f t="shared" si="7"/>
        <v>0</v>
      </c>
      <c r="I35" s="255">
        <f t="shared" si="8"/>
        <v>0</v>
      </c>
      <c r="J35" s="251">
        <f t="shared" si="9"/>
        <v>0</v>
      </c>
      <c r="K35" s="291"/>
    </row>
    <row r="36" ht="13.5" customHeight="1" spans="2:11">
      <c r="B36" s="257">
        <v>29</v>
      </c>
      <c r="C36" s="253" t="str">
        <f>'4110-3'!B162&amp;""</f>
        <v/>
      </c>
      <c r="D36" s="254">
        <f>SUMIF('4110-3'!$I$135:$I$153,C36,'4110-3'!$M$135:$M$153)</f>
        <v>0</v>
      </c>
      <c r="E36" s="255">
        <f t="shared" si="5"/>
        <v>0</v>
      </c>
      <c r="F36" s="250">
        <f>SUMIF('4110-3'!$E$6:$E$118,'4110-4'!C36,'4110-3'!$T$6:$T$118)</f>
        <v>0</v>
      </c>
      <c r="G36" s="255">
        <f t="shared" si="6"/>
        <v>0</v>
      </c>
      <c r="H36" s="250">
        <f t="shared" si="7"/>
        <v>0</v>
      </c>
      <c r="I36" s="255">
        <f t="shared" si="8"/>
        <v>0</v>
      </c>
      <c r="J36" s="251">
        <f t="shared" si="9"/>
        <v>0</v>
      </c>
      <c r="K36" s="291"/>
    </row>
    <row r="37" ht="13.5" customHeight="1" spans="2:11">
      <c r="B37" s="257">
        <v>30</v>
      </c>
      <c r="C37" s="253" t="str">
        <f>'4110-3'!B163&amp;""</f>
        <v/>
      </c>
      <c r="D37" s="254">
        <f>SUMIF('4110-3'!$I$135:$I$153,C37,'4110-3'!$M$135:$M$153)</f>
        <v>0</v>
      </c>
      <c r="E37" s="255">
        <f t="shared" si="5"/>
        <v>0</v>
      </c>
      <c r="F37" s="250">
        <f>SUMIF('4110-3'!$E$6:$E$118,'4110-4'!C37,'4110-3'!$T$6:$T$118)</f>
        <v>0</v>
      </c>
      <c r="G37" s="255">
        <f t="shared" si="6"/>
        <v>0</v>
      </c>
      <c r="H37" s="250">
        <f t="shared" si="7"/>
        <v>0</v>
      </c>
      <c r="I37" s="255">
        <f t="shared" si="8"/>
        <v>0</v>
      </c>
      <c r="J37" s="251">
        <f t="shared" si="9"/>
        <v>0</v>
      </c>
      <c r="K37" s="291"/>
    </row>
    <row r="38" ht="13.5" customHeight="1" spans="2:11">
      <c r="B38" s="257">
        <v>31</v>
      </c>
      <c r="C38" s="253" t="str">
        <f>'4110-3'!B164&amp;""</f>
        <v/>
      </c>
      <c r="D38" s="254">
        <f>SUMIF('4110-3'!$I$135:$I$153,C38,'4110-3'!$M$135:$M$153)</f>
        <v>0</v>
      </c>
      <c r="E38" s="255">
        <f t="shared" si="5"/>
        <v>0</v>
      </c>
      <c r="F38" s="250">
        <f>SUMIF('4110-3'!$E$6:$E$118,'4110-4'!C38,'4110-3'!$T$6:$T$118)</f>
        <v>0</v>
      </c>
      <c r="G38" s="255">
        <f t="shared" si="6"/>
        <v>0</v>
      </c>
      <c r="H38" s="250">
        <f t="shared" si="7"/>
        <v>0</v>
      </c>
      <c r="I38" s="255">
        <f t="shared" si="8"/>
        <v>0</v>
      </c>
      <c r="J38" s="251">
        <f t="shared" si="9"/>
        <v>0</v>
      </c>
      <c r="K38" s="291"/>
    </row>
    <row r="39" ht="13.5" customHeight="1" spans="2:11">
      <c r="B39" s="257">
        <v>32</v>
      </c>
      <c r="C39" s="253" t="str">
        <f>'4110-3'!B165&amp;""</f>
        <v/>
      </c>
      <c r="D39" s="254">
        <f>SUMIF('4110-3'!$I$135:$I$153,C39,'4110-3'!$M$135:$M$153)</f>
        <v>0</v>
      </c>
      <c r="E39" s="255">
        <f t="shared" si="5"/>
        <v>0</v>
      </c>
      <c r="F39" s="250">
        <f>SUMIF('4110-3'!$E$6:$E$118,'4110-4'!C39,'4110-3'!$T$6:$T$118)</f>
        <v>0</v>
      </c>
      <c r="G39" s="255">
        <f t="shared" si="6"/>
        <v>0</v>
      </c>
      <c r="H39" s="250">
        <f t="shared" si="7"/>
        <v>0</v>
      </c>
      <c r="I39" s="255">
        <f t="shared" si="8"/>
        <v>0</v>
      </c>
      <c r="J39" s="251">
        <f t="shared" si="9"/>
        <v>0</v>
      </c>
      <c r="K39" s="291"/>
    </row>
    <row r="40" ht="13.5" customHeight="1" spans="2:11">
      <c r="B40" s="259">
        <v>33</v>
      </c>
      <c r="C40" s="260" t="str">
        <f>'4110-3'!B166&amp;""</f>
        <v/>
      </c>
      <c r="D40" s="261">
        <f>SUMIF('4110-3'!$I$135:$I$153,C40,'4110-3'!$M$135:$M$153)</f>
        <v>0</v>
      </c>
      <c r="E40" s="262">
        <f t="shared" si="5"/>
        <v>0</v>
      </c>
      <c r="F40" s="263">
        <f>SUMIF('4110-3'!$E$6:$E$118,'4110-4'!C40,'4110-3'!$T$6:$T$118)</f>
        <v>0</v>
      </c>
      <c r="G40" s="262">
        <f t="shared" si="6"/>
        <v>0</v>
      </c>
      <c r="H40" s="263">
        <f t="shared" si="7"/>
        <v>0</v>
      </c>
      <c r="I40" s="262">
        <f t="shared" si="8"/>
        <v>0</v>
      </c>
      <c r="J40" s="292">
        <f t="shared" si="9"/>
        <v>0</v>
      </c>
      <c r="K40" s="293"/>
    </row>
    <row r="41" spans="4:8">
      <c r="D41" s="264" t="s">
        <v>210</v>
      </c>
      <c r="F41" s="264" t="s">
        <v>210</v>
      </c>
      <c r="H41" s="264" t="s">
        <v>210</v>
      </c>
    </row>
    <row r="42" ht="13.85" spans="2:8">
      <c r="B42" s="225" t="s">
        <v>151</v>
      </c>
      <c r="D42" s="264"/>
      <c r="F42" s="264"/>
      <c r="H42" s="264"/>
    </row>
    <row r="43" ht="13.5" customHeight="1" spans="2:11">
      <c r="B43" s="265" t="s">
        <v>211</v>
      </c>
      <c r="C43" s="266"/>
      <c r="D43" s="267"/>
      <c r="E43" s="267"/>
      <c r="F43" s="267"/>
      <c r="G43" s="267"/>
      <c r="H43" s="267"/>
      <c r="I43" s="267"/>
      <c r="J43" s="267"/>
      <c r="K43" s="294"/>
    </row>
    <row r="44" ht="13.5" customHeight="1" spans="2:11">
      <c r="B44" s="268" t="s">
        <v>212</v>
      </c>
      <c r="C44" s="269"/>
      <c r="K44" s="295"/>
    </row>
    <row r="45" ht="13.5" customHeight="1" spans="2:11">
      <c r="B45" s="270"/>
      <c r="C45" s="269"/>
      <c r="K45" s="295"/>
    </row>
    <row r="46" ht="13.5" customHeight="1" spans="2:11">
      <c r="B46" s="271"/>
      <c r="C46" s="269"/>
      <c r="K46" s="295"/>
    </row>
    <row r="47" ht="13.5" customHeight="1" spans="2:11">
      <c r="B47" s="271"/>
      <c r="C47" s="269"/>
      <c r="K47" s="295"/>
    </row>
    <row r="48" s="223" customFormat="1" ht="15" customHeight="1" spans="1:11">
      <c r="A48" s="272"/>
      <c r="B48" s="273"/>
      <c r="C48" s="274"/>
      <c r="D48" s="274"/>
      <c r="E48" s="275"/>
      <c r="F48" s="276"/>
      <c r="G48" s="277"/>
      <c r="H48" s="278"/>
      <c r="I48" s="296"/>
      <c r="J48" s="296"/>
      <c r="K48" s="297"/>
    </row>
    <row r="49" s="223" customFormat="1" ht="15" customHeight="1" spans="1:8">
      <c r="A49" s="272"/>
      <c r="B49" s="279"/>
      <c r="C49" s="280"/>
      <c r="D49" s="281"/>
      <c r="E49" s="282"/>
      <c r="F49" s="283"/>
      <c r="G49" s="284"/>
      <c r="H49" s="285"/>
    </row>
    <row r="50" s="223" customFormat="1" ht="15" customHeight="1" spans="1:8">
      <c r="A50" s="272"/>
      <c r="B50" s="279"/>
      <c r="C50" s="281"/>
      <c r="D50" s="281"/>
      <c r="E50" s="282"/>
      <c r="F50" s="283"/>
      <c r="G50" s="284"/>
      <c r="H50" s="285"/>
    </row>
    <row r="51" s="223" customFormat="1" ht="15" customHeight="1" spans="1:8">
      <c r="A51" s="272"/>
      <c r="C51" s="286"/>
      <c r="D51" s="281"/>
      <c r="E51" s="282"/>
      <c r="F51" s="283"/>
      <c r="G51" s="284"/>
      <c r="H51" s="285"/>
    </row>
    <row r="52" s="223" customFormat="1" ht="15" customHeight="1" spans="1:8">
      <c r="A52" s="272"/>
      <c r="C52" s="286"/>
      <c r="D52" s="281"/>
      <c r="E52" s="282"/>
      <c r="F52" s="283"/>
      <c r="G52" s="284"/>
      <c r="H52" s="285"/>
    </row>
    <row r="53" s="223" customFormat="1" ht="15" customHeight="1" spans="1:8">
      <c r="A53" s="272"/>
      <c r="C53" s="286"/>
      <c r="D53" s="281"/>
      <c r="E53" s="282"/>
      <c r="F53" s="283"/>
      <c r="G53" s="284"/>
      <c r="H53" s="285"/>
    </row>
    <row r="54" s="223" customFormat="1" ht="15" customHeight="1" spans="1:8">
      <c r="A54" s="272"/>
      <c r="C54" s="286"/>
      <c r="D54" s="281"/>
      <c r="E54" s="282"/>
      <c r="F54" s="283"/>
      <c r="G54" s="282"/>
      <c r="H54" s="281"/>
    </row>
    <row r="55" s="224" customFormat="1" spans="1:3">
      <c r="A55" s="272"/>
      <c r="C55" s="286"/>
    </row>
    <row r="56" s="224" customFormat="1" spans="1:1">
      <c r="A56" s="272"/>
    </row>
    <row r="57" s="224" customFormat="1" spans="1:1">
      <c r="A57" s="272"/>
    </row>
    <row r="58" s="224" customFormat="1" spans="1:1">
      <c r="A58" s="272"/>
    </row>
    <row r="59" s="224" customFormat="1" spans="1:1">
      <c r="A59" s="272"/>
    </row>
    <row r="60" s="224" customFormat="1" spans="1:1">
      <c r="A60" s="272"/>
    </row>
    <row r="61" s="224" customFormat="1" spans="1:1">
      <c r="A61" s="272"/>
    </row>
    <row r="62" s="224" customFormat="1" spans="1:1">
      <c r="A62" s="272"/>
    </row>
    <row r="63" s="224" customFormat="1" spans="1:1">
      <c r="A63" s="272"/>
    </row>
    <row r="64" s="224" customFormat="1" spans="1:1">
      <c r="A64" s="272"/>
    </row>
    <row r="65" s="224" customFormat="1" spans="1:1">
      <c r="A65" s="272"/>
    </row>
    <row r="66" s="224" customFormat="1" spans="1:1">
      <c r="A66" s="272"/>
    </row>
    <row r="67" s="224" customFormat="1" spans="1:1">
      <c r="A67" s="272"/>
    </row>
  </sheetData>
  <mergeCells count="6">
    <mergeCell ref="D4:E4"/>
    <mergeCell ref="F4:G4"/>
    <mergeCell ref="H4:J4"/>
    <mergeCell ref="B4:B6"/>
    <mergeCell ref="C4:C6"/>
    <mergeCell ref="K4:K6"/>
  </mergeCells>
  <hyperlinks>
    <hyperlink ref="A1" location="'目录'!C8" display="&lt;&lt;"/>
  </hyperlinks>
  <printOptions horizontalCentered="1"/>
  <pageMargins left="0" right="0" top="0.78740157480315" bottom="0.393700787401575" header="0" footer="0"/>
  <pageSetup paperSize="9" fitToHeight="0" orientation="landscape" blackAndWhite="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O963"/>
  <sheetViews>
    <sheetView showGridLines="0" showZeros="0" workbookViewId="0">
      <pane ySplit="4" topLeftCell="A5" activePane="bottomLeft" state="frozen"/>
      <selection/>
      <selection pane="bottomLeft" activeCell="H11" sqref="H11"/>
    </sheetView>
  </sheetViews>
  <sheetFormatPr defaultColWidth="9" defaultRowHeight="12.75"/>
  <cols>
    <col min="1" max="1" width="2.7" style="176" customWidth="1"/>
    <col min="2" max="2" width="24.2" style="176" customWidth="1"/>
    <col min="3" max="3" width="20.9" style="176" customWidth="1"/>
    <col min="4" max="4" width="14.2" style="176" customWidth="1"/>
    <col min="5" max="5" width="12.6" style="176" customWidth="1"/>
    <col min="6" max="6" width="12.1" style="176" customWidth="1"/>
    <col min="7" max="7" width="12.6" style="176" customWidth="1"/>
    <col min="8" max="13" width="11.2" style="176" customWidth="1"/>
    <col min="14" max="14" width="3.7" style="176" customWidth="1"/>
    <col min="15" max="17" width="9" style="176"/>
    <col min="18" max="19" width="10.4" style="176" customWidth="1"/>
    <col min="20" max="16384" width="9" style="176"/>
  </cols>
  <sheetData>
    <row r="1" s="173" customFormat="1" ht="28.5" customHeight="1" spans="1:15">
      <c r="A1" s="119" t="s">
        <v>40</v>
      </c>
      <c r="B1" s="177" t="s">
        <v>213</v>
      </c>
      <c r="L1" s="178" t="s">
        <v>42</v>
      </c>
      <c r="M1" s="100" t="str">
        <f>目录!E9</f>
        <v>4110-5</v>
      </c>
      <c r="O1" s="101"/>
    </row>
    <row r="2" s="173" customFormat="1" ht="25.95" customHeight="1" spans="2:15">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178"/>
      <c r="D2" s="178"/>
      <c r="E2" s="178"/>
      <c r="F2" s="178"/>
      <c r="G2" s="179"/>
      <c r="H2" s="179"/>
      <c r="I2" s="179"/>
      <c r="J2" s="179"/>
      <c r="K2" s="178"/>
      <c r="L2" s="178"/>
      <c r="M2" s="178"/>
      <c r="O2" s="210"/>
    </row>
    <row r="3" s="173" customFormat="1" ht="12" customHeight="1" spans="2:13">
      <c r="B3" s="180"/>
      <c r="C3" s="181"/>
      <c r="D3" s="181"/>
      <c r="E3" s="181"/>
      <c r="F3" s="181"/>
      <c r="G3" s="181"/>
      <c r="H3" s="181"/>
      <c r="I3" s="181"/>
      <c r="J3" s="181"/>
      <c r="K3" s="181"/>
      <c r="L3" s="181"/>
      <c r="M3" s="181"/>
    </row>
    <row r="4" ht="36.45" customHeight="1" spans="2:13">
      <c r="B4" s="182" t="s">
        <v>125</v>
      </c>
      <c r="C4" s="183" t="s">
        <v>214</v>
      </c>
      <c r="D4" s="183" t="s">
        <v>215</v>
      </c>
      <c r="E4" s="183" t="s">
        <v>216</v>
      </c>
      <c r="F4" s="183" t="s">
        <v>217</v>
      </c>
      <c r="G4" s="183" t="s">
        <v>218</v>
      </c>
      <c r="H4" s="183" t="s">
        <v>219</v>
      </c>
      <c r="I4" s="183" t="s">
        <v>220</v>
      </c>
      <c r="J4" s="183" t="s">
        <v>221</v>
      </c>
      <c r="K4" s="183" t="s">
        <v>222</v>
      </c>
      <c r="L4" s="183" t="s">
        <v>223</v>
      </c>
      <c r="M4" s="211" t="s">
        <v>90</v>
      </c>
    </row>
    <row r="5" ht="19.95" customHeight="1" spans="2:13">
      <c r="B5" s="184"/>
      <c r="C5" s="185"/>
      <c r="D5" s="186"/>
      <c r="E5" s="187"/>
      <c r="F5" s="188"/>
      <c r="G5" s="188"/>
      <c r="H5" s="185"/>
      <c r="I5" s="187"/>
      <c r="J5" s="187"/>
      <c r="K5" s="195">
        <f t="shared" ref="K5:K15" si="0">I5-J5</f>
        <v>0</v>
      </c>
      <c r="L5" s="190"/>
      <c r="M5" s="212"/>
    </row>
    <row r="6" ht="19.95" customHeight="1" spans="2:13">
      <c r="B6" s="184"/>
      <c r="C6" s="185"/>
      <c r="D6" s="186"/>
      <c r="E6" s="187"/>
      <c r="F6" s="188"/>
      <c r="G6" s="188"/>
      <c r="H6" s="185"/>
      <c r="I6" s="187"/>
      <c r="J6" s="187"/>
      <c r="K6" s="195">
        <f t="shared" si="0"/>
        <v>0</v>
      </c>
      <c r="L6" s="190"/>
      <c r="M6" s="213"/>
    </row>
    <row r="7" s="174" customFormat="1" ht="19.95" customHeight="1" spans="2:13">
      <c r="B7" s="184"/>
      <c r="C7" s="185"/>
      <c r="D7" s="186"/>
      <c r="E7" s="187"/>
      <c r="F7" s="188"/>
      <c r="G7" s="188"/>
      <c r="H7" s="185"/>
      <c r="I7" s="187"/>
      <c r="J7" s="187"/>
      <c r="K7" s="195">
        <f t="shared" si="0"/>
        <v>0</v>
      </c>
      <c r="L7" s="190"/>
      <c r="M7" s="213"/>
    </row>
    <row r="8" s="174" customFormat="1" ht="19.95" customHeight="1" spans="2:14">
      <c r="B8" s="189"/>
      <c r="C8" s="190"/>
      <c r="D8" s="190"/>
      <c r="E8" s="191"/>
      <c r="F8" s="188"/>
      <c r="G8" s="192"/>
      <c r="H8" s="190"/>
      <c r="I8" s="191"/>
      <c r="J8" s="191"/>
      <c r="K8" s="195">
        <f t="shared" si="0"/>
        <v>0</v>
      </c>
      <c r="L8" s="190"/>
      <c r="M8" s="213"/>
      <c r="N8" s="214"/>
    </row>
    <row r="9" s="174" customFormat="1" ht="19.95" customHeight="1" spans="2:14">
      <c r="B9" s="189"/>
      <c r="C9" s="190"/>
      <c r="D9" s="190"/>
      <c r="E9" s="191"/>
      <c r="F9" s="188"/>
      <c r="G9" s="192"/>
      <c r="H9" s="190"/>
      <c r="I9" s="191"/>
      <c r="J9" s="191"/>
      <c r="K9" s="195">
        <f t="shared" si="0"/>
        <v>0</v>
      </c>
      <c r="L9" s="190"/>
      <c r="M9" s="212"/>
      <c r="N9" s="214"/>
    </row>
    <row r="10" s="174" customFormat="1" ht="19.95" customHeight="1" spans="2:14">
      <c r="B10" s="189"/>
      <c r="C10" s="190"/>
      <c r="D10" s="190"/>
      <c r="E10" s="191"/>
      <c r="F10" s="188"/>
      <c r="G10" s="192"/>
      <c r="H10" s="190"/>
      <c r="I10" s="191"/>
      <c r="J10" s="191"/>
      <c r="K10" s="195">
        <f t="shared" si="0"/>
        <v>0</v>
      </c>
      <c r="L10" s="190"/>
      <c r="M10" s="212"/>
      <c r="N10" s="214"/>
    </row>
    <row r="11" s="174" customFormat="1" ht="19.95" customHeight="1" spans="2:14">
      <c r="B11" s="189"/>
      <c r="C11" s="190"/>
      <c r="D11" s="190"/>
      <c r="E11" s="191"/>
      <c r="F11" s="192"/>
      <c r="H11" s="190"/>
      <c r="I11" s="191"/>
      <c r="J11" s="191"/>
      <c r="K11" s="195">
        <f t="shared" si="0"/>
        <v>0</v>
      </c>
      <c r="L11" s="190"/>
      <c r="M11" s="213"/>
      <c r="N11" s="214"/>
    </row>
    <row r="12" s="174" customFormat="1" ht="19.95" customHeight="1" spans="2:14">
      <c r="B12" s="189"/>
      <c r="C12" s="190"/>
      <c r="D12" s="190"/>
      <c r="E12" s="191"/>
      <c r="F12" s="188"/>
      <c r="G12" s="192"/>
      <c r="H12" s="190"/>
      <c r="I12" s="191"/>
      <c r="J12" s="191"/>
      <c r="K12" s="195">
        <f t="shared" si="0"/>
        <v>0</v>
      </c>
      <c r="L12" s="190"/>
      <c r="M12" s="213"/>
      <c r="N12" s="214"/>
    </row>
    <row r="13" s="174" customFormat="1" ht="19.95" customHeight="1" spans="2:14">
      <c r="B13" s="189"/>
      <c r="C13" s="190"/>
      <c r="D13" s="190"/>
      <c r="E13" s="191"/>
      <c r="F13" s="188"/>
      <c r="G13" s="192"/>
      <c r="H13" s="190"/>
      <c r="I13" s="191"/>
      <c r="J13" s="191"/>
      <c r="K13" s="195">
        <f t="shared" si="0"/>
        <v>0</v>
      </c>
      <c r="L13" s="190"/>
      <c r="M13" s="213"/>
      <c r="N13" s="214"/>
    </row>
    <row r="14" s="174" customFormat="1" ht="19.95" customHeight="1" spans="2:14">
      <c r="B14" s="189"/>
      <c r="C14" s="190"/>
      <c r="D14" s="190"/>
      <c r="E14" s="191"/>
      <c r="F14" s="188"/>
      <c r="G14" s="192"/>
      <c r="H14" s="190"/>
      <c r="I14" s="191"/>
      <c r="J14" s="191"/>
      <c r="K14" s="195">
        <f t="shared" si="0"/>
        <v>0</v>
      </c>
      <c r="L14" s="190"/>
      <c r="M14" s="212"/>
      <c r="N14" s="214"/>
    </row>
    <row r="15" s="174" customFormat="1" ht="19.95" customHeight="1" spans="2:14">
      <c r="B15" s="193"/>
      <c r="C15" s="190"/>
      <c r="D15" s="190"/>
      <c r="E15" s="191"/>
      <c r="F15" s="188"/>
      <c r="G15" s="192"/>
      <c r="H15" s="190"/>
      <c r="I15" s="191"/>
      <c r="J15" s="191"/>
      <c r="K15" s="195">
        <f t="shared" si="0"/>
        <v>0</v>
      </c>
      <c r="L15" s="190"/>
      <c r="M15" s="213"/>
      <c r="N15" s="214"/>
    </row>
    <row r="16" s="174" customFormat="1" ht="19.95" customHeight="1" spans="2:14">
      <c r="B16" s="194" t="s">
        <v>168</v>
      </c>
      <c r="C16" s="190"/>
      <c r="D16" s="190"/>
      <c r="E16" s="195">
        <f>SUM(E5:E15)</f>
        <v>0</v>
      </c>
      <c r="F16" s="192"/>
      <c r="G16" s="192"/>
      <c r="H16" s="190"/>
      <c r="I16" s="195">
        <f t="shared" ref="I16:K16" si="1">SUM(I5:I15)</f>
        <v>0</v>
      </c>
      <c r="J16" s="195">
        <f t="shared" si="1"/>
        <v>0</v>
      </c>
      <c r="K16" s="195">
        <f t="shared" si="1"/>
        <v>0</v>
      </c>
      <c r="L16" s="190"/>
      <c r="M16" s="213"/>
      <c r="N16" s="214"/>
    </row>
    <row r="17" s="174" customFormat="1" ht="19.95" customHeight="1" spans="2:14">
      <c r="B17" s="196"/>
      <c r="C17" s="197"/>
      <c r="D17" s="197"/>
      <c r="E17" s="198"/>
      <c r="F17" s="197"/>
      <c r="G17" s="197"/>
      <c r="H17" s="197"/>
      <c r="I17" s="198"/>
      <c r="J17" s="198"/>
      <c r="K17" s="198"/>
      <c r="L17" s="197"/>
      <c r="M17" s="215"/>
      <c r="N17" s="214"/>
    </row>
    <row r="18" s="174" customFormat="1" ht="19.95" customHeight="1" spans="2:14">
      <c r="B18" s="199" t="s">
        <v>224</v>
      </c>
      <c r="C18" s="200"/>
      <c r="D18" s="200"/>
      <c r="E18" s="200"/>
      <c r="F18" s="200"/>
      <c r="G18" s="200"/>
      <c r="H18" s="200"/>
      <c r="I18" s="200"/>
      <c r="J18" s="200"/>
      <c r="K18" s="200"/>
      <c r="L18" s="200"/>
      <c r="M18" s="216"/>
      <c r="N18" s="214"/>
    </row>
    <row r="19" s="174" customFormat="1" ht="19.95" customHeight="1" spans="2:14">
      <c r="B19" s="201" t="s">
        <v>225</v>
      </c>
      <c r="C19" s="202"/>
      <c r="D19" s="202"/>
      <c r="E19" s="202"/>
      <c r="F19" s="202"/>
      <c r="G19" s="202"/>
      <c r="H19" s="202"/>
      <c r="I19" s="202"/>
      <c r="J19" s="202"/>
      <c r="K19" s="202"/>
      <c r="L19" s="202"/>
      <c r="M19" s="217"/>
      <c r="N19" s="214"/>
    </row>
    <row r="20" s="174" customFormat="1" ht="19.95" customHeight="1" spans="2:14">
      <c r="B20" s="201" t="s">
        <v>226</v>
      </c>
      <c r="C20" s="202"/>
      <c r="D20" s="202"/>
      <c r="E20" s="202"/>
      <c r="F20" s="202"/>
      <c r="G20" s="202"/>
      <c r="H20" s="202"/>
      <c r="I20" s="202"/>
      <c r="J20" s="202"/>
      <c r="K20" s="202"/>
      <c r="L20" s="202"/>
      <c r="M20" s="217"/>
      <c r="N20" s="214"/>
    </row>
    <row r="21" s="174" customFormat="1" ht="19.95" customHeight="1" spans="2:14">
      <c r="B21" s="201" t="s">
        <v>227</v>
      </c>
      <c r="C21" s="202"/>
      <c r="D21" s="202"/>
      <c r="E21" s="202"/>
      <c r="F21" s="202"/>
      <c r="G21" s="202"/>
      <c r="H21" s="202"/>
      <c r="I21" s="202"/>
      <c r="J21" s="202"/>
      <c r="K21" s="202"/>
      <c r="L21" s="202"/>
      <c r="M21" s="217"/>
      <c r="N21" s="214"/>
    </row>
    <row r="22" s="175" customFormat="1" ht="19.95" customHeight="1" spans="2:14">
      <c r="B22" s="203" t="s">
        <v>151</v>
      </c>
      <c r="C22" s="204"/>
      <c r="D22" s="204"/>
      <c r="E22" s="204"/>
      <c r="F22" s="204"/>
      <c r="G22" s="204"/>
      <c r="H22" s="204"/>
      <c r="I22" s="204"/>
      <c r="J22" s="204"/>
      <c r="K22" s="204"/>
      <c r="L22" s="204"/>
      <c r="M22" s="218"/>
      <c r="N22" s="219"/>
    </row>
    <row r="23" s="174" customFormat="1" ht="19.95" customHeight="1" spans="2:13">
      <c r="B23" s="205"/>
      <c r="C23" s="206"/>
      <c r="D23" s="206"/>
      <c r="E23" s="206"/>
      <c r="F23" s="206"/>
      <c r="G23" s="206"/>
      <c r="H23" s="206"/>
      <c r="I23" s="206"/>
      <c r="J23" s="206"/>
      <c r="K23" s="206"/>
      <c r="L23" s="206"/>
      <c r="M23" s="220"/>
    </row>
    <row r="24" s="174" customFormat="1" ht="19.95" customHeight="1" spans="2:13">
      <c r="B24" s="207"/>
      <c r="C24" s="204"/>
      <c r="D24" s="204"/>
      <c r="E24" s="204"/>
      <c r="F24" s="204"/>
      <c r="G24" s="204"/>
      <c r="H24" s="204"/>
      <c r="I24" s="204"/>
      <c r="J24" s="204"/>
      <c r="K24" s="204"/>
      <c r="L24" s="204"/>
      <c r="M24" s="218"/>
    </row>
    <row r="25" s="174" customFormat="1" ht="19.95" customHeight="1" spans="2:13">
      <c r="B25" s="207"/>
      <c r="C25" s="204"/>
      <c r="D25" s="204"/>
      <c r="E25" s="204"/>
      <c r="F25" s="204"/>
      <c r="G25" s="204"/>
      <c r="H25" s="204"/>
      <c r="I25" s="204"/>
      <c r="J25" s="204"/>
      <c r="K25" s="204"/>
      <c r="L25" s="204"/>
      <c r="M25" s="218"/>
    </row>
    <row r="26" s="174" customFormat="1" ht="19.95" customHeight="1" spans="2:13">
      <c r="B26" s="208"/>
      <c r="C26" s="209"/>
      <c r="D26" s="209"/>
      <c r="E26" s="209"/>
      <c r="F26" s="209"/>
      <c r="G26" s="209"/>
      <c r="H26" s="209"/>
      <c r="I26" s="209"/>
      <c r="J26" s="209"/>
      <c r="K26" s="209"/>
      <c r="L26" s="209"/>
      <c r="M26" s="221"/>
    </row>
    <row r="27" s="174" customFormat="1" ht="19.95" customHeight="1"/>
    <row r="28" s="174" customFormat="1" ht="19.95" customHeight="1"/>
    <row r="29" s="174" customFormat="1" ht="19.95" customHeight="1"/>
    <row r="30" s="174" customFormat="1" ht="19.95" customHeight="1"/>
    <row r="31" s="174" customFormat="1" ht="19.95" customHeight="1"/>
    <row r="32" s="174" customFormat="1" ht="19.95" customHeight="1"/>
    <row r="33" s="174" customFormat="1" ht="19.95" customHeight="1"/>
    <row r="34" s="174" customFormat="1" ht="19.95" customHeight="1"/>
    <row r="35" s="174" customFormat="1" ht="19.95" customHeight="1"/>
    <row r="36" s="174" customFormat="1" ht="19.95" customHeight="1"/>
    <row r="37" s="174" customFormat="1" ht="19.95" customHeight="1"/>
    <row r="38" s="174" customFormat="1" ht="19.95" customHeight="1"/>
    <row r="39" s="174" customFormat="1" ht="19.95" customHeight="1"/>
    <row r="40" s="174" customFormat="1" ht="19.95" customHeight="1"/>
    <row r="41" s="174" customFormat="1" ht="19.95" customHeight="1"/>
    <row r="42" s="174" customFormat="1" ht="19.95" customHeight="1"/>
    <row r="43" s="174" customFormat="1" ht="19.95" customHeight="1"/>
    <row r="44" s="174" customFormat="1" ht="19.95" customHeight="1"/>
    <row r="45" s="174" customFormat="1" ht="19.95" customHeight="1"/>
    <row r="46" s="174" customFormat="1" ht="19.95" customHeight="1"/>
    <row r="47" s="174" customFormat="1" ht="19.95" customHeight="1"/>
    <row r="48" s="174" customFormat="1" ht="19.95" customHeight="1"/>
    <row r="49" s="174" customFormat="1" ht="19.95" customHeight="1"/>
    <row r="50" s="174" customFormat="1" ht="19.95" customHeight="1"/>
    <row r="51" s="174" customFormat="1" ht="19.95" customHeight="1"/>
    <row r="52" s="174" customFormat="1" ht="19.95" customHeight="1"/>
    <row r="53" s="174" customFormat="1" ht="19.95" customHeight="1"/>
    <row r="54" s="174" customFormat="1" ht="19.95" customHeight="1"/>
    <row r="55" s="174" customFormat="1" ht="19.95" customHeight="1"/>
    <row r="56" s="174" customFormat="1" ht="19.95" customHeight="1"/>
    <row r="57" s="174" customFormat="1" ht="19.95" customHeight="1"/>
    <row r="58" s="174" customFormat="1" ht="19.95" customHeight="1"/>
    <row r="59" s="174" customFormat="1" ht="19.95" customHeight="1"/>
    <row r="60" s="174" customFormat="1" ht="19.95" customHeight="1"/>
    <row r="61" s="174" customFormat="1" ht="19.95" customHeight="1"/>
    <row r="62" s="174" customFormat="1" ht="19.95" customHeight="1"/>
    <row r="63" s="174" customFormat="1" ht="19.95" customHeight="1"/>
    <row r="64" s="174" customFormat="1" ht="19.95" customHeight="1"/>
    <row r="65" s="174" customFormat="1" ht="19.95" customHeight="1"/>
    <row r="66" s="174" customFormat="1" ht="19.95" customHeight="1"/>
    <row r="67" s="174" customFormat="1" ht="19.95" customHeight="1"/>
    <row r="68" s="174" customFormat="1" ht="19.95" customHeight="1"/>
    <row r="69" ht="19.95" customHeight="1"/>
    <row r="70" ht="19.95" customHeight="1"/>
    <row r="71" ht="19.95" customHeight="1"/>
    <row r="72" ht="19.95" customHeight="1"/>
    <row r="73" ht="19.95" customHeight="1"/>
    <row r="74" ht="19.95" customHeight="1"/>
    <row r="75" ht="19.95" customHeight="1"/>
    <row r="76" ht="19.95" customHeight="1"/>
    <row r="77" ht="19.95" customHeight="1"/>
    <row r="78" ht="19.95" customHeight="1"/>
    <row r="79" ht="19.95" customHeight="1"/>
    <row r="80" ht="19.95" customHeight="1"/>
    <row r="81" ht="19.95" customHeight="1"/>
    <row r="82" ht="19.95" customHeight="1"/>
    <row r="83" ht="19.95" customHeight="1"/>
    <row r="84" ht="19.95" customHeight="1"/>
    <row r="85" ht="19.95" customHeight="1"/>
    <row r="86" ht="19.95" customHeight="1"/>
    <row r="87" ht="19.95" customHeight="1"/>
    <row r="88" ht="19.95" customHeight="1"/>
    <row r="89" ht="19.95" customHeight="1"/>
    <row r="90" ht="19.95" customHeight="1"/>
    <row r="91" ht="19.95" customHeight="1"/>
    <row r="92" ht="19.95" customHeight="1"/>
    <row r="93" ht="19.95" customHeight="1"/>
    <row r="94" ht="19.95" customHeight="1"/>
    <row r="95" ht="19.95" customHeight="1"/>
    <row r="96" ht="19.95" customHeight="1"/>
    <row r="97" ht="19.95" customHeight="1"/>
    <row r="98" ht="19.95" customHeight="1"/>
    <row r="99" ht="19.95" customHeight="1"/>
    <row r="100" ht="19.95" customHeight="1"/>
    <row r="101" ht="19.95" customHeight="1"/>
    <row r="102" ht="19.95" customHeight="1"/>
    <row r="103" ht="19.95" customHeight="1"/>
    <row r="104" ht="19.95" customHeight="1"/>
    <row r="105" ht="19.95" customHeight="1"/>
    <row r="106" ht="19.95" customHeight="1"/>
    <row r="107" ht="19.95" customHeight="1"/>
    <row r="108" ht="19.95" customHeight="1"/>
    <row r="109" ht="19.95" customHeight="1"/>
    <row r="110" ht="19.95" customHeight="1"/>
    <row r="111" ht="19.95" customHeight="1"/>
    <row r="112" ht="19.95" customHeight="1"/>
    <row r="113" ht="19.95" customHeight="1"/>
    <row r="114" ht="19.95" customHeight="1"/>
    <row r="115" ht="19.95" customHeight="1"/>
    <row r="116" ht="19.95" customHeight="1"/>
    <row r="117" ht="19.95" customHeight="1"/>
    <row r="118" ht="19.95" customHeight="1"/>
    <row r="119" ht="19.95" customHeight="1"/>
    <row r="120" ht="19.95" customHeight="1"/>
    <row r="121" ht="19.95" customHeight="1"/>
    <row r="122" ht="19.95" customHeight="1"/>
    <row r="123" ht="19.95" customHeight="1"/>
    <row r="124" ht="19.95" customHeight="1"/>
    <row r="125" ht="19.95" customHeight="1"/>
    <row r="126" ht="19.95" customHeight="1"/>
    <row r="127" ht="19.95" customHeight="1"/>
    <row r="128" ht="19.95" customHeight="1"/>
    <row r="129" ht="19.95" customHeight="1"/>
    <row r="130" ht="19.95" customHeight="1"/>
    <row r="131" ht="19.95" customHeight="1"/>
    <row r="132" ht="19.95" customHeight="1"/>
    <row r="133" ht="19.95" customHeight="1"/>
    <row r="134" ht="19.95" customHeight="1"/>
    <row r="135" ht="19.95" customHeight="1"/>
    <row r="136" ht="19.95" customHeight="1"/>
    <row r="137" ht="19.95" customHeight="1"/>
    <row r="138" ht="19.95" customHeight="1"/>
    <row r="139" ht="19.95" customHeight="1"/>
    <row r="140" ht="19.95" customHeight="1"/>
    <row r="141" ht="19.95" customHeight="1"/>
    <row r="142" ht="19.95" customHeight="1"/>
    <row r="143" ht="19.95" customHeight="1"/>
    <row r="144" ht="19.95" customHeight="1"/>
    <row r="145" ht="19.95" customHeight="1"/>
    <row r="146" ht="19.95" customHeight="1"/>
    <row r="147" ht="19.95" customHeight="1"/>
    <row r="148" ht="19.95" customHeight="1"/>
    <row r="149" ht="19.95" customHeight="1"/>
    <row r="150" ht="19.95" customHeight="1"/>
    <row r="151" ht="19.95" customHeight="1"/>
    <row r="152" ht="19.95" customHeight="1"/>
    <row r="153" ht="19.95" customHeight="1"/>
    <row r="154" ht="19.95" customHeight="1"/>
    <row r="155" ht="19.95" customHeight="1"/>
    <row r="156" ht="19.95" customHeight="1"/>
    <row r="157" ht="19.95" customHeight="1"/>
    <row r="158" ht="19.95" customHeight="1"/>
    <row r="159" ht="19.95" customHeight="1"/>
    <row r="160" ht="19.95" customHeight="1"/>
    <row r="161" ht="19.95" customHeight="1"/>
    <row r="162" ht="19.95" customHeight="1"/>
    <row r="163" ht="19.95" customHeight="1"/>
    <row r="164" ht="19.95" customHeight="1"/>
    <row r="165" ht="19.95" customHeight="1"/>
    <row r="166" ht="19.95" customHeight="1"/>
    <row r="167" ht="19.95" customHeight="1"/>
    <row r="168" ht="19.95" customHeight="1"/>
    <row r="169" ht="19.95" customHeight="1"/>
    <row r="170" ht="19.95" customHeight="1"/>
    <row r="171" ht="19.95" customHeight="1"/>
    <row r="172" ht="19.95" customHeight="1"/>
    <row r="173" ht="19.95" customHeight="1"/>
    <row r="174" ht="19.95" customHeight="1"/>
    <row r="175" ht="19.95" customHeight="1"/>
    <row r="176" ht="19.95" customHeight="1"/>
    <row r="177" ht="19.95" customHeight="1"/>
    <row r="178" ht="19.95" customHeight="1"/>
    <row r="179" ht="19.95" customHeight="1"/>
    <row r="180" ht="19.95" customHeight="1"/>
    <row r="181" ht="19.95" customHeight="1"/>
    <row r="182" ht="19.95" customHeight="1"/>
    <row r="183" ht="19.95" customHeight="1"/>
    <row r="184" ht="19.95" customHeight="1"/>
    <row r="185" ht="19.95" customHeight="1"/>
    <row r="186" ht="19.95" customHeight="1"/>
    <row r="187" ht="19.95" customHeight="1"/>
    <row r="188" ht="19.95" customHeight="1"/>
    <row r="189" ht="19.95" customHeight="1"/>
    <row r="190" ht="19.95" customHeight="1"/>
    <row r="191" ht="19.95" customHeight="1"/>
    <row r="192" ht="19.95" customHeight="1"/>
    <row r="193" ht="19.95" customHeight="1"/>
    <row r="194" ht="19.95" customHeight="1"/>
    <row r="195" ht="19.95" customHeight="1"/>
    <row r="196" ht="19.95" customHeight="1"/>
    <row r="197" ht="19.95" customHeight="1"/>
    <row r="198" ht="19.95" customHeight="1"/>
    <row r="199" ht="19.95" customHeight="1"/>
    <row r="200" ht="19.95" customHeight="1"/>
    <row r="201" ht="19.95" customHeight="1"/>
    <row r="202" ht="19.95" customHeight="1"/>
    <row r="203" ht="19.95" customHeight="1"/>
    <row r="204" ht="19.95" customHeight="1"/>
    <row r="205" ht="19.95" customHeight="1"/>
    <row r="206" ht="19.95" customHeight="1"/>
    <row r="207" ht="19.95" customHeight="1"/>
    <row r="208" ht="19.95" customHeight="1"/>
    <row r="209" ht="19.95" customHeight="1"/>
    <row r="210" ht="19.95" customHeight="1"/>
    <row r="211" ht="19.95" customHeight="1"/>
    <row r="212" ht="19.95" customHeight="1"/>
    <row r="213" ht="19.95" customHeight="1"/>
    <row r="214" ht="19.95" customHeight="1"/>
    <row r="215" ht="19.95" customHeight="1"/>
    <row r="216" ht="19.95" customHeight="1"/>
    <row r="217" ht="19.95" customHeight="1"/>
    <row r="218" ht="19.95" customHeight="1"/>
    <row r="219" ht="19.95" customHeight="1"/>
    <row r="220" ht="19.95" customHeight="1"/>
    <row r="221" ht="19.95" customHeight="1"/>
    <row r="222" ht="19.95" customHeight="1"/>
    <row r="223" ht="19.95" customHeight="1"/>
    <row r="224" ht="19.95" customHeight="1"/>
    <row r="225" ht="19.95" customHeight="1"/>
    <row r="226" ht="19.95" customHeight="1"/>
    <row r="227" ht="19.95" customHeight="1"/>
    <row r="228" ht="19.95" customHeight="1"/>
    <row r="229" ht="19.95" customHeight="1"/>
    <row r="230" ht="19.95" customHeight="1"/>
    <row r="231" ht="19.95" customHeight="1"/>
    <row r="232" ht="19.95" customHeight="1"/>
    <row r="233" ht="19.95" customHeight="1"/>
    <row r="234" ht="19.95" customHeight="1"/>
    <row r="235" ht="19.95" customHeight="1"/>
    <row r="236" ht="19.95" customHeight="1"/>
    <row r="237" ht="19.95" customHeight="1"/>
    <row r="238" ht="19.95" customHeight="1"/>
    <row r="239" ht="19.95" customHeight="1"/>
    <row r="240" ht="19.95" customHeight="1"/>
    <row r="241" ht="19.95" customHeight="1"/>
    <row r="242" ht="19.95" customHeight="1"/>
    <row r="243" ht="19.95" customHeight="1"/>
    <row r="244" ht="19.95" customHeight="1"/>
    <row r="245" ht="19.95" customHeight="1"/>
    <row r="246" ht="19.95" customHeight="1"/>
    <row r="247" ht="19.95" customHeight="1"/>
    <row r="248" ht="19.95" customHeight="1"/>
    <row r="249" ht="19.95" customHeight="1"/>
    <row r="250" ht="19.95" customHeight="1"/>
    <row r="251" ht="19.95" customHeight="1"/>
    <row r="252" ht="19.95" customHeight="1"/>
    <row r="253" ht="19.95" customHeight="1"/>
    <row r="254" ht="19.95" customHeight="1"/>
    <row r="255" ht="19.95" customHeight="1"/>
    <row r="256" ht="19.95" customHeight="1"/>
    <row r="257" ht="19.95" customHeight="1"/>
    <row r="258" ht="19.95" customHeight="1"/>
    <row r="259" ht="19.95" customHeight="1"/>
    <row r="260" ht="19.95" customHeight="1"/>
    <row r="261" ht="19.95" customHeight="1"/>
    <row r="262" ht="19.95" customHeight="1"/>
    <row r="263" ht="19.95" customHeight="1"/>
    <row r="264" ht="19.95" customHeight="1"/>
    <row r="265" ht="19.95" customHeight="1"/>
    <row r="266" ht="19.95" customHeight="1"/>
    <row r="267" ht="19.95" customHeight="1"/>
    <row r="268" ht="19.95" customHeight="1"/>
    <row r="269" ht="19.95" customHeight="1"/>
    <row r="270" ht="19.95" customHeight="1"/>
    <row r="271" ht="19.95" customHeight="1"/>
    <row r="272" ht="19.95" customHeight="1"/>
    <row r="273" ht="19.95" customHeight="1"/>
    <row r="274" ht="19.95" customHeight="1"/>
    <row r="275" ht="19.95" customHeight="1"/>
    <row r="276" ht="19.95" customHeight="1"/>
    <row r="277" ht="19.95" customHeight="1"/>
    <row r="278" ht="19.95" customHeight="1"/>
    <row r="279" ht="19.95" customHeight="1"/>
    <row r="280" ht="19.95" customHeight="1"/>
    <row r="281" ht="19.95" customHeight="1"/>
    <row r="282" ht="19.95" customHeight="1"/>
    <row r="283" ht="19.95" customHeight="1"/>
    <row r="284" ht="19.95" customHeight="1"/>
    <row r="285" ht="19.95" customHeight="1"/>
    <row r="286" ht="19.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sheetData>
  <sheetProtection formatCells="0" insertHyperlinks="0" autoFilter="0"/>
  <hyperlinks>
    <hyperlink ref="A1" location="'目录'!C9" display="&lt;&lt;"/>
  </hyperlinks>
  <printOptions horizontalCentered="1"/>
  <pageMargins left="0.196850393700787" right="0.196850393700787" top="0.984251968503937" bottom="0.984251968503937" header="0.511811023622047" footer="0.511811023622047"/>
  <pageSetup paperSize="9" scale="82" firstPageNumber="4294963191" fitToHeight="0" orientation="landscape" blackAndWhite="1" useFirstPageNumber="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J37"/>
  <sheetViews>
    <sheetView showGridLines="0" showZeros="0" workbookViewId="0">
      <pane ySplit="11" topLeftCell="A12" activePane="bottomLeft" state="frozen"/>
      <selection/>
      <selection pane="bottomLeft" activeCell="J15" sqref="J15"/>
    </sheetView>
  </sheetViews>
  <sheetFormatPr defaultColWidth="9" defaultRowHeight="15.75"/>
  <cols>
    <col min="1" max="1" width="2.7" style="58" customWidth="1"/>
    <col min="2" max="2" width="15.9" style="58" customWidth="1"/>
    <col min="3" max="3" width="13" style="58" customWidth="1"/>
    <col min="4" max="4" width="9.6" style="58" customWidth="1"/>
    <col min="5" max="5" width="28.6" style="58" customWidth="1"/>
    <col min="6" max="6" width="9.7" style="58" customWidth="1"/>
    <col min="7" max="8" width="14.2" style="58" customWidth="1"/>
    <col min="9" max="16384" width="9" style="58"/>
  </cols>
  <sheetData>
    <row r="1" s="116" customFormat="1" ht="28.5" customHeight="1" spans="1:10">
      <c r="A1" s="119" t="s">
        <v>40</v>
      </c>
      <c r="B1" s="120" t="s">
        <v>37</v>
      </c>
      <c r="C1" s="121"/>
      <c r="D1" s="121"/>
      <c r="E1" s="121"/>
      <c r="F1" s="121"/>
      <c r="G1" s="122" t="s">
        <v>42</v>
      </c>
      <c r="H1" s="100" t="str">
        <f>目录!E10</f>
        <v>4110-6</v>
      </c>
      <c r="J1" s="101"/>
    </row>
    <row r="2" s="116" customFormat="1" ht="25.95" customHeight="1" spans="2:8">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65"/>
      <c r="G2" s="122"/>
      <c r="H2" s="123"/>
    </row>
    <row r="3" s="116" customFormat="1" ht="12" customHeight="1" spans="2:8">
      <c r="B3" s="124"/>
      <c r="C3" s="124"/>
      <c r="D3" s="125"/>
      <c r="E3" s="126"/>
      <c r="F3" s="127"/>
      <c r="G3" s="126"/>
      <c r="H3" s="128"/>
    </row>
    <row r="4" s="117" customFormat="1" ht="18" customHeight="1" spans="2:8">
      <c r="B4" s="129" t="s">
        <v>228</v>
      </c>
      <c r="C4" s="130" t="s">
        <v>229</v>
      </c>
      <c r="D4" s="131"/>
      <c r="E4" s="131"/>
      <c r="F4" s="131"/>
      <c r="G4" s="131"/>
      <c r="H4" s="132"/>
    </row>
    <row r="5" s="117" customFormat="1" ht="10.5" customHeight="1" spans="2:8">
      <c r="B5" s="133"/>
      <c r="C5" s="134"/>
      <c r="E5" s="135"/>
      <c r="F5" s="136"/>
      <c r="G5" s="135"/>
      <c r="H5" s="137"/>
    </row>
    <row r="6" s="117" customFormat="1" ht="33" customHeight="1" spans="2:8">
      <c r="B6" s="138" t="s">
        <v>230</v>
      </c>
      <c r="C6" s="139" t="s">
        <v>231</v>
      </c>
      <c r="D6" s="140"/>
      <c r="E6" s="140"/>
      <c r="F6" s="140"/>
      <c r="G6" s="140"/>
      <c r="H6" s="141"/>
    </row>
    <row r="7" s="117" customFormat="1" ht="10.5" customHeight="1" spans="2:8">
      <c r="B7" s="133"/>
      <c r="C7" s="134"/>
      <c r="E7" s="135"/>
      <c r="F7" s="136"/>
      <c r="G7" s="135"/>
      <c r="H7" s="137"/>
    </row>
    <row r="8" s="117" customFormat="1" ht="18" customHeight="1" spans="2:8">
      <c r="B8" s="138" t="s">
        <v>232</v>
      </c>
      <c r="C8" s="142"/>
      <c r="D8" s="143"/>
      <c r="E8" s="144"/>
      <c r="F8" s="145"/>
      <c r="G8" s="144"/>
      <c r="H8" s="146"/>
    </row>
    <row r="9" ht="12" customHeight="1" spans="2:8">
      <c r="B9" s="147"/>
      <c r="H9" s="148"/>
    </row>
    <row r="10" s="118" customFormat="1" ht="15" spans="2:8">
      <c r="B10" s="149" t="s">
        <v>124</v>
      </c>
      <c r="C10" s="150" t="s">
        <v>233</v>
      </c>
      <c r="D10" s="150" t="s">
        <v>234</v>
      </c>
      <c r="E10" s="150" t="s">
        <v>235</v>
      </c>
      <c r="F10" s="150" t="s">
        <v>236</v>
      </c>
      <c r="G10" s="150" t="s">
        <v>237</v>
      </c>
      <c r="H10" s="151" t="s">
        <v>238</v>
      </c>
    </row>
    <row r="11" s="118" customFormat="1" ht="15" spans="2:8">
      <c r="B11" s="152"/>
      <c r="C11" s="153"/>
      <c r="D11" s="153"/>
      <c r="E11" s="153"/>
      <c r="F11" s="153"/>
      <c r="G11" s="153"/>
      <c r="H11" s="154" t="s">
        <v>239</v>
      </c>
    </row>
    <row r="12" s="118" customFormat="1" ht="15" spans="2:8">
      <c r="B12" s="155"/>
      <c r="C12" s="156"/>
      <c r="D12" s="157"/>
      <c r="E12" s="158"/>
      <c r="F12" s="158"/>
      <c r="G12" s="159"/>
      <c r="H12" s="160"/>
    </row>
    <row r="13" s="118" customFormat="1" ht="15" spans="2:8">
      <c r="B13" s="155"/>
      <c r="C13" s="156"/>
      <c r="D13" s="157"/>
      <c r="E13" s="161"/>
      <c r="F13" s="158"/>
      <c r="G13" s="159"/>
      <c r="H13" s="160"/>
    </row>
    <row r="14" s="118" customFormat="1" ht="15" spans="2:8">
      <c r="B14" s="155"/>
      <c r="C14" s="156"/>
      <c r="D14" s="157"/>
      <c r="E14" s="161"/>
      <c r="F14" s="158"/>
      <c r="G14" s="159"/>
      <c r="H14" s="160"/>
    </row>
    <row r="15" s="118" customFormat="1" ht="15" spans="2:8">
      <c r="B15" s="155"/>
      <c r="C15" s="156"/>
      <c r="D15" s="157"/>
      <c r="E15" s="161"/>
      <c r="F15" s="158"/>
      <c r="G15" s="159"/>
      <c r="H15" s="160"/>
    </row>
    <row r="16" s="118" customFormat="1" ht="15" spans="2:8">
      <c r="B16" s="155"/>
      <c r="C16" s="156"/>
      <c r="D16" s="157"/>
      <c r="E16" s="158"/>
      <c r="F16" s="158"/>
      <c r="G16" s="159"/>
      <c r="H16" s="160"/>
    </row>
    <row r="17" s="118" customFormat="1" ht="15" spans="2:8">
      <c r="B17" s="155"/>
      <c r="C17" s="156"/>
      <c r="D17" s="157"/>
      <c r="E17" s="158"/>
      <c r="F17" s="158"/>
      <c r="G17" s="159"/>
      <c r="H17" s="160"/>
    </row>
    <row r="18" s="118" customFormat="1" ht="15" spans="2:8">
      <c r="B18" s="155"/>
      <c r="C18" s="156"/>
      <c r="D18" s="157"/>
      <c r="E18" s="158"/>
      <c r="F18" s="158"/>
      <c r="G18" s="159"/>
      <c r="H18" s="160"/>
    </row>
    <row r="19" s="118" customFormat="1" ht="15" spans="2:8">
      <c r="B19" s="155"/>
      <c r="C19" s="156"/>
      <c r="D19" s="157"/>
      <c r="E19" s="158"/>
      <c r="F19" s="158"/>
      <c r="G19" s="159"/>
      <c r="H19" s="160"/>
    </row>
    <row r="20" s="118" customFormat="1" ht="15" spans="2:8">
      <c r="B20" s="155"/>
      <c r="C20" s="156"/>
      <c r="D20" s="157"/>
      <c r="E20" s="158"/>
      <c r="F20" s="158"/>
      <c r="G20" s="159"/>
      <c r="H20" s="160"/>
    </row>
    <row r="21" s="118" customFormat="1" ht="15" spans="2:8">
      <c r="B21" s="155"/>
      <c r="C21" s="156"/>
      <c r="D21" s="157"/>
      <c r="E21" s="158"/>
      <c r="F21" s="158"/>
      <c r="G21" s="159"/>
      <c r="H21" s="160"/>
    </row>
    <row r="22" s="118" customFormat="1" ht="15" spans="2:8">
      <c r="B22" s="162" t="s">
        <v>240</v>
      </c>
      <c r="C22" s="163"/>
      <c r="D22" s="163"/>
      <c r="E22" s="163"/>
      <c r="F22" s="163"/>
      <c r="G22" s="163"/>
      <c r="H22" s="164"/>
    </row>
    <row r="23" s="118" customFormat="1" ht="15" spans="2:8">
      <c r="B23" s="162" t="s">
        <v>241</v>
      </c>
      <c r="C23" s="163"/>
      <c r="D23" s="163"/>
      <c r="E23" s="163"/>
      <c r="F23" s="163"/>
      <c r="G23" s="163"/>
      <c r="H23" s="164"/>
    </row>
    <row r="24" s="118" customFormat="1" ht="15" spans="2:8">
      <c r="B24" s="165" t="s">
        <v>242</v>
      </c>
      <c r="C24" s="163"/>
      <c r="D24" s="163"/>
      <c r="E24" s="163"/>
      <c r="F24" s="163"/>
      <c r="G24" s="163"/>
      <c r="H24" s="164"/>
    </row>
    <row r="25" s="118" customFormat="1" ht="15" spans="2:8">
      <c r="B25" s="162" t="s">
        <v>243</v>
      </c>
      <c r="C25" s="163"/>
      <c r="D25" s="163"/>
      <c r="E25" s="163"/>
      <c r="F25" s="163"/>
      <c r="G25" s="163"/>
      <c r="H25" s="164"/>
    </row>
    <row r="26" s="118" customFormat="1" ht="15" spans="2:8">
      <c r="B26" s="162" t="s">
        <v>244</v>
      </c>
      <c r="C26" s="163"/>
      <c r="D26" s="163"/>
      <c r="E26" s="163"/>
      <c r="F26" s="163"/>
      <c r="G26" s="163"/>
      <c r="H26" s="164"/>
    </row>
    <row r="27" s="118" customFormat="1" ht="15" spans="2:8">
      <c r="B27" s="155"/>
      <c r="C27" s="156"/>
      <c r="D27" s="157"/>
      <c r="E27" s="158"/>
      <c r="F27" s="158"/>
      <c r="G27" s="159"/>
      <c r="H27" s="160"/>
    </row>
    <row r="28" s="118" customFormat="1" ht="15" spans="2:8">
      <c r="B28" s="155"/>
      <c r="C28" s="156"/>
      <c r="D28" s="157"/>
      <c r="E28" s="158"/>
      <c r="F28" s="158"/>
      <c r="G28" s="159"/>
      <c r="H28" s="160"/>
    </row>
    <row r="29" s="118" customFormat="1" ht="15" spans="2:8">
      <c r="B29" s="155"/>
      <c r="C29" s="156"/>
      <c r="D29" s="157"/>
      <c r="E29" s="158"/>
      <c r="F29" s="158"/>
      <c r="G29" s="159"/>
      <c r="H29" s="160"/>
    </row>
    <row r="30" s="118" customFormat="1" ht="15" spans="2:8">
      <c r="B30" s="155"/>
      <c r="C30" s="156"/>
      <c r="D30" s="157"/>
      <c r="E30" s="158"/>
      <c r="F30" s="158"/>
      <c r="G30" s="159"/>
      <c r="H30" s="160"/>
    </row>
    <row r="31" s="118" customFormat="1" ht="15" spans="2:8">
      <c r="B31" s="155"/>
      <c r="C31" s="156"/>
      <c r="D31" s="157"/>
      <c r="E31" s="158"/>
      <c r="F31" s="158"/>
      <c r="G31" s="159"/>
      <c r="H31" s="160"/>
    </row>
    <row r="32" s="118" customFormat="1" ht="15" spans="2:8">
      <c r="B32" s="155"/>
      <c r="C32" s="156"/>
      <c r="D32" s="157"/>
      <c r="E32" s="158"/>
      <c r="F32" s="158"/>
      <c r="G32" s="159"/>
      <c r="H32" s="160"/>
    </row>
    <row r="33" s="118" customFormat="1" ht="15" spans="2:8">
      <c r="B33" s="155"/>
      <c r="C33" s="156"/>
      <c r="D33" s="157"/>
      <c r="E33" s="158"/>
      <c r="F33" s="158"/>
      <c r="G33" s="159"/>
      <c r="H33" s="160"/>
    </row>
    <row r="34" s="118" customFormat="1" ht="15" spans="2:8">
      <c r="B34" s="155"/>
      <c r="C34" s="156"/>
      <c r="D34" s="157"/>
      <c r="E34" s="158"/>
      <c r="F34" s="158"/>
      <c r="G34" s="159"/>
      <c r="H34" s="160"/>
    </row>
    <row r="35" s="118" customFormat="1" ht="15" spans="2:8">
      <c r="B35" s="155"/>
      <c r="C35" s="156"/>
      <c r="D35" s="157"/>
      <c r="E35" s="158"/>
      <c r="F35" s="158"/>
      <c r="G35" s="159"/>
      <c r="H35" s="160"/>
    </row>
    <row r="36" s="118" customFormat="1" spans="2:8">
      <c r="B36" s="166"/>
      <c r="C36" s="167"/>
      <c r="D36" s="168"/>
      <c r="E36" s="169"/>
      <c r="F36" s="169"/>
      <c r="G36" s="170"/>
      <c r="H36" s="171"/>
    </row>
    <row r="37" s="118" customFormat="1" ht="15" spans="2:8">
      <c r="B37" s="172"/>
      <c r="C37" s="172"/>
      <c r="D37" s="172"/>
      <c r="E37" s="172"/>
      <c r="F37" s="172"/>
      <c r="G37" s="172"/>
      <c r="H37" s="172"/>
    </row>
  </sheetData>
  <sheetProtection formatCells="0" insertHyperlinks="0" autoFilter="0"/>
  <mergeCells count="13">
    <mergeCell ref="C4:H4"/>
    <mergeCell ref="C6:H6"/>
    <mergeCell ref="B22:H22"/>
    <mergeCell ref="B23:H23"/>
    <mergeCell ref="B24:H24"/>
    <mergeCell ref="B25:H25"/>
    <mergeCell ref="B26:H26"/>
    <mergeCell ref="B10:B11"/>
    <mergeCell ref="C10:C11"/>
    <mergeCell ref="D10:D11"/>
    <mergeCell ref="E10:E11"/>
    <mergeCell ref="F10:F11"/>
    <mergeCell ref="G10:G11"/>
  </mergeCells>
  <dataValidations count="1">
    <dataValidation type="list" allowBlank="1" showInputMessage="1" showErrorMessage="1" sqref="H12:H21 H27:H36">
      <formula1>"√,×"</formula1>
    </dataValidation>
  </dataValidations>
  <hyperlinks>
    <hyperlink ref="A1" location="'目录'!C10" display="&lt;&lt;"/>
  </hyperlinks>
  <printOptions horizontalCentered="1"/>
  <pageMargins left="0.590551181102362" right="0.196850393700787" top="0.984251968503937" bottom="0.984251968503937" header="0.511811023622047" footer="0.511811023622047"/>
  <pageSetup paperSize="9" scale="85" firstPageNumber="4294963191" fitToHeight="0" orientation="portrait" blackAndWhite="1" useFirstPageNumber="1"/>
  <headerFooter alignWithMargins="0"/>
  <colBreaks count="1" manualBreakCount="1">
    <brk id="8"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P30"/>
  <sheetViews>
    <sheetView showGridLines="0" zoomScale="82" zoomScaleNormal="82" workbookViewId="0">
      <pane ySplit="5" topLeftCell="A20" activePane="bottomLeft" state="frozen"/>
      <selection/>
      <selection pane="bottomLeft" activeCell="A1" sqref="A1"/>
    </sheetView>
  </sheetViews>
  <sheetFormatPr defaultColWidth="8.7" defaultRowHeight="12.75"/>
  <cols>
    <col min="1" max="1" width="2.7" style="60" customWidth="1"/>
    <col min="2" max="2" width="18.6" style="60" customWidth="1"/>
    <col min="3" max="3" width="11.1" style="60" customWidth="1"/>
    <col min="4" max="4" width="13.3916666666667" style="60" customWidth="1"/>
    <col min="5" max="5" width="23.7" style="60" customWidth="1"/>
    <col min="6" max="6" width="19.1" style="60" customWidth="1"/>
    <col min="7" max="7" width="11.7" style="60" customWidth="1"/>
    <col min="8" max="8" width="12.2" style="60" customWidth="1"/>
    <col min="9" max="9" width="6.2" style="60" customWidth="1"/>
    <col min="10" max="10" width="6.7" style="60" customWidth="1"/>
    <col min="11" max="11" width="7.2" style="60" customWidth="1"/>
    <col min="12" max="12" width="8" style="60" customWidth="1"/>
    <col min="13" max="13" width="7.6" style="60" customWidth="1"/>
    <col min="14" max="14" width="11.9" style="60" customWidth="1"/>
    <col min="15" max="16384" width="8.7" style="60"/>
  </cols>
  <sheetData>
    <row r="1" s="57" customFormat="1" ht="28.5" customHeight="1" spans="1:16">
      <c r="A1" s="61" t="s">
        <v>40</v>
      </c>
      <c r="B1" s="62" t="s">
        <v>39</v>
      </c>
      <c r="C1" s="63"/>
      <c r="D1" s="63"/>
      <c r="E1" s="63"/>
      <c r="F1" s="63"/>
      <c r="G1" s="63"/>
      <c r="H1" s="63"/>
      <c r="I1" s="63"/>
      <c r="J1" s="63"/>
      <c r="K1" s="63"/>
      <c r="L1" s="63"/>
      <c r="M1" s="99" t="s">
        <v>42</v>
      </c>
      <c r="N1" s="100" t="str">
        <f>目录!E11</f>
        <v>4110-7</v>
      </c>
      <c r="P1" s="101"/>
    </row>
    <row r="2" s="57" customFormat="1" ht="25.95" customHeight="1" spans="2:14">
      <c r="B2" s="64" t="str">
        <f>目录!G3&amp;目录!J3&amp;"  "&amp;目录!G4&amp;目录!H4&amp;"  "&amp;目录!G5&amp;目录!H5&amp;"  "&amp;目录!I4&amp;目录!J4&amp;""&amp;目录!L4&amp;"  "&amp;目录!I5&amp;目录!J5&amp;""&amp;目录!L5</f>
        <v>被审计单位：钢力金属  会计期间：2024-1-1至2024-12-31  截止日期：2024-12-31  编制人：黄振通2025-1-21  复核人：王裕昆2025-2-10</v>
      </c>
      <c r="C2" s="65"/>
      <c r="D2" s="63"/>
      <c r="E2" s="63"/>
      <c r="F2" s="63"/>
      <c r="G2" s="63"/>
      <c r="H2" s="63"/>
      <c r="M2" s="102"/>
      <c r="N2" s="66"/>
    </row>
    <row r="3" s="57" customFormat="1" ht="12" customHeight="1" spans="2:14">
      <c r="B3" s="66"/>
      <c r="C3" s="66"/>
      <c r="H3" s="63"/>
      <c r="L3" s="99"/>
      <c r="M3" s="66"/>
      <c r="N3" s="103"/>
    </row>
    <row r="4" s="58" customFormat="1" ht="24" customHeight="1" spans="2:14">
      <c r="B4" s="67" t="s">
        <v>124</v>
      </c>
      <c r="C4" s="68" t="s">
        <v>245</v>
      </c>
      <c r="D4" s="69" t="s">
        <v>246</v>
      </c>
      <c r="E4" s="68" t="s">
        <v>247</v>
      </c>
      <c r="F4" s="68" t="s">
        <v>248</v>
      </c>
      <c r="G4" s="68" t="s">
        <v>249</v>
      </c>
      <c r="H4" s="68" t="s">
        <v>250</v>
      </c>
      <c r="I4" s="69" t="s">
        <v>251</v>
      </c>
      <c r="J4" s="104"/>
      <c r="K4" s="104"/>
      <c r="L4" s="104"/>
      <c r="M4" s="104"/>
      <c r="N4" s="105" t="s">
        <v>252</v>
      </c>
    </row>
    <row r="5" s="58" customFormat="1" ht="15.75" spans="2:14">
      <c r="B5" s="70"/>
      <c r="C5" s="71"/>
      <c r="D5" s="71"/>
      <c r="E5" s="71"/>
      <c r="F5" s="71"/>
      <c r="G5" s="71"/>
      <c r="H5" s="71"/>
      <c r="I5" s="71">
        <v>1</v>
      </c>
      <c r="J5" s="71">
        <v>2</v>
      </c>
      <c r="K5" s="71">
        <v>3</v>
      </c>
      <c r="L5" s="71">
        <v>4</v>
      </c>
      <c r="M5" s="71">
        <v>5</v>
      </c>
      <c r="N5" s="106"/>
    </row>
    <row r="6" s="58" customFormat="1" ht="24" customHeight="1" spans="2:14">
      <c r="B6" s="72" t="s">
        <v>9</v>
      </c>
      <c r="C6" s="73" t="s">
        <v>253</v>
      </c>
      <c r="D6" s="73" t="s">
        <v>254</v>
      </c>
      <c r="E6" s="74" t="s">
        <v>255</v>
      </c>
      <c r="F6" s="74" t="s">
        <v>256</v>
      </c>
      <c r="G6" s="75">
        <v>2000</v>
      </c>
      <c r="H6" s="75"/>
      <c r="I6" s="107" t="s">
        <v>52</v>
      </c>
      <c r="J6" s="107" t="s">
        <v>52</v>
      </c>
      <c r="K6" s="107" t="s">
        <v>52</v>
      </c>
      <c r="L6" s="107" t="s">
        <v>52</v>
      </c>
      <c r="M6" s="108"/>
      <c r="N6" s="109"/>
    </row>
    <row r="7" s="58" customFormat="1" ht="24" customHeight="1" spans="2:14">
      <c r="B7" s="72" t="s">
        <v>9</v>
      </c>
      <c r="C7" s="73" t="s">
        <v>257</v>
      </c>
      <c r="D7" s="73" t="s">
        <v>258</v>
      </c>
      <c r="E7" s="74" t="s">
        <v>259</v>
      </c>
      <c r="F7" s="74" t="s">
        <v>260</v>
      </c>
      <c r="G7" s="75">
        <v>1827.36</v>
      </c>
      <c r="H7" s="75"/>
      <c r="I7" s="107" t="s">
        <v>52</v>
      </c>
      <c r="J7" s="107" t="s">
        <v>52</v>
      </c>
      <c r="K7" s="107" t="s">
        <v>52</v>
      </c>
      <c r="L7" s="107" t="s">
        <v>52</v>
      </c>
      <c r="M7" s="108"/>
      <c r="N7" s="109"/>
    </row>
    <row r="8" s="58" customFormat="1" ht="24" customHeight="1" spans="2:14">
      <c r="B8" s="72" t="s">
        <v>9</v>
      </c>
      <c r="C8" s="73" t="s">
        <v>261</v>
      </c>
      <c r="D8" s="73" t="s">
        <v>262</v>
      </c>
      <c r="E8" s="74" t="s">
        <v>263</v>
      </c>
      <c r="F8" s="74" t="s">
        <v>264</v>
      </c>
      <c r="G8" s="75">
        <v>138932.13</v>
      </c>
      <c r="H8" s="75"/>
      <c r="I8" s="107" t="s">
        <v>52</v>
      </c>
      <c r="J8" s="107" t="s">
        <v>52</v>
      </c>
      <c r="K8" s="107" t="s">
        <v>52</v>
      </c>
      <c r="L8" s="107" t="s">
        <v>52</v>
      </c>
      <c r="M8" s="108"/>
      <c r="N8" s="109"/>
    </row>
    <row r="9" s="58" customFormat="1" ht="24" customHeight="1" spans="2:14">
      <c r="B9" s="72" t="s">
        <v>9</v>
      </c>
      <c r="C9" s="73" t="s">
        <v>265</v>
      </c>
      <c r="D9" s="73" t="s">
        <v>266</v>
      </c>
      <c r="E9" s="74" t="s">
        <v>267</v>
      </c>
      <c r="F9" s="74" t="s">
        <v>268</v>
      </c>
      <c r="G9" s="75">
        <v>6270.42</v>
      </c>
      <c r="H9" s="75"/>
      <c r="I9" s="107" t="s">
        <v>52</v>
      </c>
      <c r="J9" s="107" t="s">
        <v>52</v>
      </c>
      <c r="K9" s="107" t="s">
        <v>52</v>
      </c>
      <c r="L9" s="107" t="s">
        <v>52</v>
      </c>
      <c r="M9" s="108"/>
      <c r="N9" s="109"/>
    </row>
    <row r="10" s="58" customFormat="1" ht="24" customHeight="1" spans="2:14">
      <c r="B10" s="72" t="s">
        <v>9</v>
      </c>
      <c r="C10" s="76" t="s">
        <v>269</v>
      </c>
      <c r="D10" s="76" t="s">
        <v>270</v>
      </c>
      <c r="E10" s="74" t="s">
        <v>271</v>
      </c>
      <c r="F10" s="74" t="s">
        <v>272</v>
      </c>
      <c r="G10" s="77">
        <v>200821.29</v>
      </c>
      <c r="H10" s="77"/>
      <c r="I10" s="107" t="s">
        <v>52</v>
      </c>
      <c r="J10" s="107" t="s">
        <v>52</v>
      </c>
      <c r="K10" s="107" t="s">
        <v>52</v>
      </c>
      <c r="L10" s="107" t="s">
        <v>52</v>
      </c>
      <c r="M10" s="108"/>
      <c r="N10" s="110"/>
    </row>
    <row r="11" s="58" customFormat="1" ht="24" customHeight="1" spans="2:14">
      <c r="B11" s="78"/>
      <c r="C11" s="79"/>
      <c r="D11" s="76"/>
      <c r="E11" s="74"/>
      <c r="F11" s="74"/>
      <c r="G11" s="77"/>
      <c r="H11" s="77"/>
      <c r="I11" s="108"/>
      <c r="J11" s="108"/>
      <c r="K11" s="108"/>
      <c r="L11" s="108"/>
      <c r="M11" s="108"/>
      <c r="N11" s="110"/>
    </row>
    <row r="12" s="58" customFormat="1" ht="24" customHeight="1" spans="2:14">
      <c r="B12" s="80"/>
      <c r="C12" s="81"/>
      <c r="D12" s="82"/>
      <c r="E12" s="83"/>
      <c r="F12" s="83"/>
      <c r="G12" s="84"/>
      <c r="H12" s="84"/>
      <c r="I12" s="111"/>
      <c r="J12" s="111"/>
      <c r="K12" s="111"/>
      <c r="L12" s="111"/>
      <c r="M12" s="111"/>
      <c r="N12" s="112"/>
    </row>
    <row r="13" s="59" customFormat="1" ht="24" customHeight="1" spans="2:14">
      <c r="B13" s="85" t="s">
        <v>273</v>
      </c>
      <c r="C13" s="86" t="s">
        <v>274</v>
      </c>
      <c r="E13" s="86"/>
      <c r="F13" s="86"/>
      <c r="G13" s="86"/>
      <c r="H13" s="86"/>
      <c r="I13" s="86"/>
      <c r="J13" s="86"/>
      <c r="K13" s="86"/>
      <c r="L13" s="86"/>
      <c r="M13" s="86"/>
      <c r="N13" s="86"/>
    </row>
    <row r="14" s="59" customFormat="1" ht="24" customHeight="1" spans="2:14">
      <c r="B14" s="87"/>
      <c r="C14" s="88" t="s">
        <v>275</v>
      </c>
      <c r="E14" s="88"/>
      <c r="F14" s="88"/>
      <c r="G14" s="88"/>
      <c r="H14" s="88"/>
      <c r="I14" s="88"/>
      <c r="J14" s="88"/>
      <c r="K14" s="88"/>
      <c r="L14" s="88"/>
      <c r="M14" s="88"/>
      <c r="N14" s="88"/>
    </row>
    <row r="15" ht="24" customHeight="1" spans="2:14">
      <c r="B15" s="89" t="s">
        <v>151</v>
      </c>
      <c r="C15" s="90"/>
      <c r="D15" s="91"/>
      <c r="E15" s="91"/>
      <c r="F15" s="91"/>
      <c r="G15" s="91"/>
      <c r="H15" s="91"/>
      <c r="I15" s="91"/>
      <c r="J15" s="91"/>
      <c r="K15" s="91"/>
      <c r="L15" s="91"/>
      <c r="M15" s="91"/>
      <c r="N15" s="91"/>
    </row>
    <row r="16" ht="24" customHeight="1" spans="2:14">
      <c r="B16" s="92" t="s">
        <v>276</v>
      </c>
      <c r="C16" s="93"/>
      <c r="D16" s="94"/>
      <c r="E16" s="94"/>
      <c r="F16" s="94"/>
      <c r="G16" s="94"/>
      <c r="H16" s="94"/>
      <c r="I16" s="94"/>
      <c r="J16" s="94"/>
      <c r="K16" s="94"/>
      <c r="L16" s="94"/>
      <c r="M16" s="94"/>
      <c r="N16" s="113"/>
    </row>
    <row r="17" ht="24" customHeight="1" spans="2:14">
      <c r="B17" s="95"/>
      <c r="C17" s="96"/>
      <c r="D17" s="96"/>
      <c r="E17" s="96"/>
      <c r="F17" s="96"/>
      <c r="G17" s="96"/>
      <c r="H17" s="96"/>
      <c r="I17" s="96"/>
      <c r="J17" s="96"/>
      <c r="K17" s="96"/>
      <c r="L17" s="96"/>
      <c r="M17" s="96"/>
      <c r="N17" s="114"/>
    </row>
    <row r="18" ht="24" customHeight="1" spans="2:14">
      <c r="B18" s="95"/>
      <c r="C18" s="96"/>
      <c r="D18" s="96"/>
      <c r="E18" s="96"/>
      <c r="F18" s="96"/>
      <c r="G18" s="96"/>
      <c r="H18" s="96"/>
      <c r="I18" s="96"/>
      <c r="J18" s="96"/>
      <c r="K18" s="96"/>
      <c r="L18" s="96"/>
      <c r="M18" s="96"/>
      <c r="N18" s="114"/>
    </row>
    <row r="19" ht="24" customHeight="1" spans="2:14">
      <c r="B19" s="97"/>
      <c r="C19" s="98"/>
      <c r="D19" s="98"/>
      <c r="E19" s="98"/>
      <c r="F19" s="98"/>
      <c r="G19" s="98"/>
      <c r="H19" s="98"/>
      <c r="I19" s="98"/>
      <c r="J19" s="98"/>
      <c r="K19" s="98"/>
      <c r="L19" s="98"/>
      <c r="M19" s="98"/>
      <c r="N19" s="115"/>
    </row>
    <row r="20" ht="24" customHeight="1"/>
    <row r="21" ht="24" customHeight="1"/>
    <row r="22" ht="24" customHeight="1"/>
    <row r="23" ht="24" customHeight="1"/>
    <row r="24" ht="24" customHeight="1"/>
    <row r="25" ht="24" customHeight="1"/>
    <row r="26" ht="24" customHeight="1"/>
    <row r="27" ht="24" customHeight="1"/>
    <row r="28" ht="24" customHeight="1"/>
    <row r="29" ht="24" customHeight="1"/>
    <row r="30" ht="24" customHeight="1"/>
  </sheetData>
  <sheetProtection formatCells="0" insertHyperlinks="0" autoFilter="0"/>
  <mergeCells count="13">
    <mergeCell ref="I4:M4"/>
    <mergeCell ref="B16:N16"/>
    <mergeCell ref="B17:N17"/>
    <mergeCell ref="B18:N18"/>
    <mergeCell ref="B19:N19"/>
    <mergeCell ref="B4:B5"/>
    <mergeCell ref="C4:C5"/>
    <mergeCell ref="D4:D5"/>
    <mergeCell ref="E4:E5"/>
    <mergeCell ref="F4:F5"/>
    <mergeCell ref="G4:G5"/>
    <mergeCell ref="H4:H5"/>
    <mergeCell ref="N4:N5"/>
  </mergeCells>
  <dataValidations count="1">
    <dataValidation type="list" allowBlank="1" showInputMessage="1" showErrorMessage="1" sqref="I6:M12">
      <formula1>"√,×"</formula1>
    </dataValidation>
  </dataValidations>
  <hyperlinks>
    <hyperlink ref="A1" location="'目录'!C11" display="&lt;&lt;"/>
  </hyperlinks>
  <printOptions horizontalCentered="1"/>
  <pageMargins left="0.196850393700787" right="0.196850393700787" top="0.984251968503937" bottom="0.984251968503937" header="0.511811023622047" footer="0.511811023622047"/>
  <pageSetup paperSize="9" scale="88" fitToHeight="0" orientation="landscape" blackAndWhite="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170"/>
  <sheetViews>
    <sheetView workbookViewId="0">
      <selection activeCell="A15" sqref="A15"/>
    </sheetView>
  </sheetViews>
  <sheetFormatPr defaultColWidth="9" defaultRowHeight="13.5" outlineLevelCol="2"/>
  <cols>
    <col min="1" max="1" width="46.3" style="46" customWidth="1"/>
    <col min="2" max="2" width="50.5" style="46" customWidth="1"/>
    <col min="3" max="3" width="35.1" style="46" customWidth="1"/>
    <col min="4" max="256" width="9" style="46"/>
    <col min="257" max="257" width="46.3" style="46" customWidth="1"/>
    <col min="258" max="258" width="50.5" style="46" customWidth="1"/>
    <col min="259" max="259" width="35.1" style="46" customWidth="1"/>
    <col min="260" max="512" width="9" style="46"/>
    <col min="513" max="513" width="46.3" style="46" customWidth="1"/>
    <col min="514" max="514" width="50.5" style="46" customWidth="1"/>
    <col min="515" max="515" width="35.1" style="46" customWidth="1"/>
    <col min="516" max="768" width="9" style="46"/>
    <col min="769" max="769" width="46.3" style="46" customWidth="1"/>
    <col min="770" max="770" width="50.5" style="46" customWidth="1"/>
    <col min="771" max="771" width="35.1" style="46" customWidth="1"/>
    <col min="772" max="1024" width="9" style="46"/>
    <col min="1025" max="1025" width="46.3" style="46" customWidth="1"/>
    <col min="1026" max="1026" width="50.5" style="46" customWidth="1"/>
    <col min="1027" max="1027" width="35.1" style="46" customWidth="1"/>
    <col min="1028" max="1280" width="9" style="46"/>
    <col min="1281" max="1281" width="46.3" style="46" customWidth="1"/>
    <col min="1282" max="1282" width="50.5" style="46" customWidth="1"/>
    <col min="1283" max="1283" width="35.1" style="46" customWidth="1"/>
    <col min="1284" max="1536" width="9" style="46"/>
    <col min="1537" max="1537" width="46.3" style="46" customWidth="1"/>
    <col min="1538" max="1538" width="50.5" style="46" customWidth="1"/>
    <col min="1539" max="1539" width="35.1" style="46" customWidth="1"/>
    <col min="1540" max="1792" width="9" style="46"/>
    <col min="1793" max="1793" width="46.3" style="46" customWidth="1"/>
    <col min="1794" max="1794" width="50.5" style="46" customWidth="1"/>
    <col min="1795" max="1795" width="35.1" style="46" customWidth="1"/>
    <col min="1796" max="2048" width="9" style="46"/>
    <col min="2049" max="2049" width="46.3" style="46" customWidth="1"/>
    <col min="2050" max="2050" width="50.5" style="46" customWidth="1"/>
    <col min="2051" max="2051" width="35.1" style="46" customWidth="1"/>
    <col min="2052" max="2304" width="9" style="46"/>
    <col min="2305" max="2305" width="46.3" style="46" customWidth="1"/>
    <col min="2306" max="2306" width="50.5" style="46" customWidth="1"/>
    <col min="2307" max="2307" width="35.1" style="46" customWidth="1"/>
    <col min="2308" max="2560" width="9" style="46"/>
    <col min="2561" max="2561" width="46.3" style="46" customWidth="1"/>
    <col min="2562" max="2562" width="50.5" style="46" customWidth="1"/>
    <col min="2563" max="2563" width="35.1" style="46" customWidth="1"/>
    <col min="2564" max="2816" width="9" style="46"/>
    <col min="2817" max="2817" width="46.3" style="46" customWidth="1"/>
    <col min="2818" max="2818" width="50.5" style="46" customWidth="1"/>
    <col min="2819" max="2819" width="35.1" style="46" customWidth="1"/>
    <col min="2820" max="3072" width="9" style="46"/>
    <col min="3073" max="3073" width="46.3" style="46" customWidth="1"/>
    <col min="3074" max="3074" width="50.5" style="46" customWidth="1"/>
    <col min="3075" max="3075" width="35.1" style="46" customWidth="1"/>
    <col min="3076" max="3328" width="9" style="46"/>
    <col min="3329" max="3329" width="46.3" style="46" customWidth="1"/>
    <col min="3330" max="3330" width="50.5" style="46" customWidth="1"/>
    <col min="3331" max="3331" width="35.1" style="46" customWidth="1"/>
    <col min="3332" max="3584" width="9" style="46"/>
    <col min="3585" max="3585" width="46.3" style="46" customWidth="1"/>
    <col min="3586" max="3586" width="50.5" style="46" customWidth="1"/>
    <col min="3587" max="3587" width="35.1" style="46" customWidth="1"/>
    <col min="3588" max="3840" width="9" style="46"/>
    <col min="3841" max="3841" width="46.3" style="46" customWidth="1"/>
    <col min="3842" max="3842" width="50.5" style="46" customWidth="1"/>
    <col min="3843" max="3843" width="35.1" style="46" customWidth="1"/>
    <col min="3844" max="4096" width="9" style="46"/>
    <col min="4097" max="4097" width="46.3" style="46" customWidth="1"/>
    <col min="4098" max="4098" width="50.5" style="46" customWidth="1"/>
    <col min="4099" max="4099" width="35.1" style="46" customWidth="1"/>
    <col min="4100" max="4352" width="9" style="46"/>
    <col min="4353" max="4353" width="46.3" style="46" customWidth="1"/>
    <col min="4354" max="4354" width="50.5" style="46" customWidth="1"/>
    <col min="4355" max="4355" width="35.1" style="46" customWidth="1"/>
    <col min="4356" max="4608" width="9" style="46"/>
    <col min="4609" max="4609" width="46.3" style="46" customWidth="1"/>
    <col min="4610" max="4610" width="50.5" style="46" customWidth="1"/>
    <col min="4611" max="4611" width="35.1" style="46" customWidth="1"/>
    <col min="4612" max="4864" width="9" style="46"/>
    <col min="4865" max="4865" width="46.3" style="46" customWidth="1"/>
    <col min="4866" max="4866" width="50.5" style="46" customWidth="1"/>
    <col min="4867" max="4867" width="35.1" style="46" customWidth="1"/>
    <col min="4868" max="5120" width="9" style="46"/>
    <col min="5121" max="5121" width="46.3" style="46" customWidth="1"/>
    <col min="5122" max="5122" width="50.5" style="46" customWidth="1"/>
    <col min="5123" max="5123" width="35.1" style="46" customWidth="1"/>
    <col min="5124" max="5376" width="9" style="46"/>
    <col min="5377" max="5377" width="46.3" style="46" customWidth="1"/>
    <col min="5378" max="5378" width="50.5" style="46" customWidth="1"/>
    <col min="5379" max="5379" width="35.1" style="46" customWidth="1"/>
    <col min="5380" max="5632" width="9" style="46"/>
    <col min="5633" max="5633" width="46.3" style="46" customWidth="1"/>
    <col min="5634" max="5634" width="50.5" style="46" customWidth="1"/>
    <col min="5635" max="5635" width="35.1" style="46" customWidth="1"/>
    <col min="5636" max="5888" width="9" style="46"/>
    <col min="5889" max="5889" width="46.3" style="46" customWidth="1"/>
    <col min="5890" max="5890" width="50.5" style="46" customWidth="1"/>
    <col min="5891" max="5891" width="35.1" style="46" customWidth="1"/>
    <col min="5892" max="6144" width="9" style="46"/>
    <col min="6145" max="6145" width="46.3" style="46" customWidth="1"/>
    <col min="6146" max="6146" width="50.5" style="46" customWidth="1"/>
    <col min="6147" max="6147" width="35.1" style="46" customWidth="1"/>
    <col min="6148" max="6400" width="9" style="46"/>
    <col min="6401" max="6401" width="46.3" style="46" customWidth="1"/>
    <col min="6402" max="6402" width="50.5" style="46" customWidth="1"/>
    <col min="6403" max="6403" width="35.1" style="46" customWidth="1"/>
    <col min="6404" max="6656" width="9" style="46"/>
    <col min="6657" max="6657" width="46.3" style="46" customWidth="1"/>
    <col min="6658" max="6658" width="50.5" style="46" customWidth="1"/>
    <col min="6659" max="6659" width="35.1" style="46" customWidth="1"/>
    <col min="6660" max="6912" width="9" style="46"/>
    <col min="6913" max="6913" width="46.3" style="46" customWidth="1"/>
    <col min="6914" max="6914" width="50.5" style="46" customWidth="1"/>
    <col min="6915" max="6915" width="35.1" style="46" customWidth="1"/>
    <col min="6916" max="7168" width="9" style="46"/>
    <col min="7169" max="7169" width="46.3" style="46" customWidth="1"/>
    <col min="7170" max="7170" width="50.5" style="46" customWidth="1"/>
    <col min="7171" max="7171" width="35.1" style="46" customWidth="1"/>
    <col min="7172" max="7424" width="9" style="46"/>
    <col min="7425" max="7425" width="46.3" style="46" customWidth="1"/>
    <col min="7426" max="7426" width="50.5" style="46" customWidth="1"/>
    <col min="7427" max="7427" width="35.1" style="46" customWidth="1"/>
    <col min="7428" max="7680" width="9" style="46"/>
    <col min="7681" max="7681" width="46.3" style="46" customWidth="1"/>
    <col min="7682" max="7682" width="50.5" style="46" customWidth="1"/>
    <col min="7683" max="7683" width="35.1" style="46" customWidth="1"/>
    <col min="7684" max="7936" width="9" style="46"/>
    <col min="7937" max="7937" width="46.3" style="46" customWidth="1"/>
    <col min="7938" max="7938" width="50.5" style="46" customWidth="1"/>
    <col min="7939" max="7939" width="35.1" style="46" customWidth="1"/>
    <col min="7940" max="8192" width="9" style="46"/>
    <col min="8193" max="8193" width="46.3" style="46" customWidth="1"/>
    <col min="8194" max="8194" width="50.5" style="46" customWidth="1"/>
    <col min="8195" max="8195" width="35.1" style="46" customWidth="1"/>
    <col min="8196" max="8448" width="9" style="46"/>
    <col min="8449" max="8449" width="46.3" style="46" customWidth="1"/>
    <col min="8450" max="8450" width="50.5" style="46" customWidth="1"/>
    <col min="8451" max="8451" width="35.1" style="46" customWidth="1"/>
    <col min="8452" max="8704" width="9" style="46"/>
    <col min="8705" max="8705" width="46.3" style="46" customWidth="1"/>
    <col min="8706" max="8706" width="50.5" style="46" customWidth="1"/>
    <col min="8707" max="8707" width="35.1" style="46" customWidth="1"/>
    <col min="8708" max="8960" width="9" style="46"/>
    <col min="8961" max="8961" width="46.3" style="46" customWidth="1"/>
    <col min="8962" max="8962" width="50.5" style="46" customWidth="1"/>
    <col min="8963" max="8963" width="35.1" style="46" customWidth="1"/>
    <col min="8964" max="9216" width="9" style="46"/>
    <col min="9217" max="9217" width="46.3" style="46" customWidth="1"/>
    <col min="9218" max="9218" width="50.5" style="46" customWidth="1"/>
    <col min="9219" max="9219" width="35.1" style="46" customWidth="1"/>
    <col min="9220" max="9472" width="9" style="46"/>
    <col min="9473" max="9473" width="46.3" style="46" customWidth="1"/>
    <col min="9474" max="9474" width="50.5" style="46" customWidth="1"/>
    <col min="9475" max="9475" width="35.1" style="46" customWidth="1"/>
    <col min="9476" max="9728" width="9" style="46"/>
    <col min="9729" max="9729" width="46.3" style="46" customWidth="1"/>
    <col min="9730" max="9730" width="50.5" style="46" customWidth="1"/>
    <col min="9731" max="9731" width="35.1" style="46" customWidth="1"/>
    <col min="9732" max="9984" width="9" style="46"/>
    <col min="9985" max="9985" width="46.3" style="46" customWidth="1"/>
    <col min="9986" max="9986" width="50.5" style="46" customWidth="1"/>
    <col min="9987" max="9987" width="35.1" style="46" customWidth="1"/>
    <col min="9988" max="10240" width="9" style="46"/>
    <col min="10241" max="10241" width="46.3" style="46" customWidth="1"/>
    <col min="10242" max="10242" width="50.5" style="46" customWidth="1"/>
    <col min="10243" max="10243" width="35.1" style="46" customWidth="1"/>
    <col min="10244" max="10496" width="9" style="46"/>
    <col min="10497" max="10497" width="46.3" style="46" customWidth="1"/>
    <col min="10498" max="10498" width="50.5" style="46" customWidth="1"/>
    <col min="10499" max="10499" width="35.1" style="46" customWidth="1"/>
    <col min="10500" max="10752" width="9" style="46"/>
    <col min="10753" max="10753" width="46.3" style="46" customWidth="1"/>
    <col min="10754" max="10754" width="50.5" style="46" customWidth="1"/>
    <col min="10755" max="10755" width="35.1" style="46" customWidth="1"/>
    <col min="10756" max="11008" width="9" style="46"/>
    <col min="11009" max="11009" width="46.3" style="46" customWidth="1"/>
    <col min="11010" max="11010" width="50.5" style="46" customWidth="1"/>
    <col min="11011" max="11011" width="35.1" style="46" customWidth="1"/>
    <col min="11012" max="11264" width="9" style="46"/>
    <col min="11265" max="11265" width="46.3" style="46" customWidth="1"/>
    <col min="11266" max="11266" width="50.5" style="46" customWidth="1"/>
    <col min="11267" max="11267" width="35.1" style="46" customWidth="1"/>
    <col min="11268" max="11520" width="9" style="46"/>
    <col min="11521" max="11521" width="46.3" style="46" customWidth="1"/>
    <col min="11522" max="11522" width="50.5" style="46" customWidth="1"/>
    <col min="11523" max="11523" width="35.1" style="46" customWidth="1"/>
    <col min="11524" max="11776" width="9" style="46"/>
    <col min="11777" max="11777" width="46.3" style="46" customWidth="1"/>
    <col min="11778" max="11778" width="50.5" style="46" customWidth="1"/>
    <col min="11779" max="11779" width="35.1" style="46" customWidth="1"/>
    <col min="11780" max="12032" width="9" style="46"/>
    <col min="12033" max="12033" width="46.3" style="46" customWidth="1"/>
    <col min="12034" max="12034" width="50.5" style="46" customWidth="1"/>
    <col min="12035" max="12035" width="35.1" style="46" customWidth="1"/>
    <col min="12036" max="12288" width="9" style="46"/>
    <col min="12289" max="12289" width="46.3" style="46" customWidth="1"/>
    <col min="12290" max="12290" width="50.5" style="46" customWidth="1"/>
    <col min="12291" max="12291" width="35.1" style="46" customWidth="1"/>
    <col min="12292" max="12544" width="9" style="46"/>
    <col min="12545" max="12545" width="46.3" style="46" customWidth="1"/>
    <col min="12546" max="12546" width="50.5" style="46" customWidth="1"/>
    <col min="12547" max="12547" width="35.1" style="46" customWidth="1"/>
    <col min="12548" max="12800" width="9" style="46"/>
    <col min="12801" max="12801" width="46.3" style="46" customWidth="1"/>
    <col min="12802" max="12802" width="50.5" style="46" customWidth="1"/>
    <col min="12803" max="12803" width="35.1" style="46" customWidth="1"/>
    <col min="12804" max="13056" width="9" style="46"/>
    <col min="13057" max="13057" width="46.3" style="46" customWidth="1"/>
    <col min="13058" max="13058" width="50.5" style="46" customWidth="1"/>
    <col min="13059" max="13059" width="35.1" style="46" customWidth="1"/>
    <col min="13060" max="13312" width="9" style="46"/>
    <col min="13313" max="13313" width="46.3" style="46" customWidth="1"/>
    <col min="13314" max="13314" width="50.5" style="46" customWidth="1"/>
    <col min="13315" max="13315" width="35.1" style="46" customWidth="1"/>
    <col min="13316" max="13568" width="9" style="46"/>
    <col min="13569" max="13569" width="46.3" style="46" customWidth="1"/>
    <col min="13570" max="13570" width="50.5" style="46" customWidth="1"/>
    <col min="13571" max="13571" width="35.1" style="46" customWidth="1"/>
    <col min="13572" max="13824" width="9" style="46"/>
    <col min="13825" max="13825" width="46.3" style="46" customWidth="1"/>
    <col min="13826" max="13826" width="50.5" style="46" customWidth="1"/>
    <col min="13827" max="13827" width="35.1" style="46" customWidth="1"/>
    <col min="13828" max="14080" width="9" style="46"/>
    <col min="14081" max="14081" width="46.3" style="46" customWidth="1"/>
    <col min="14082" max="14082" width="50.5" style="46" customWidth="1"/>
    <col min="14083" max="14083" width="35.1" style="46" customWidth="1"/>
    <col min="14084" max="14336" width="9" style="46"/>
    <col min="14337" max="14337" width="46.3" style="46" customWidth="1"/>
    <col min="14338" max="14338" width="50.5" style="46" customWidth="1"/>
    <col min="14339" max="14339" width="35.1" style="46" customWidth="1"/>
    <col min="14340" max="14592" width="9" style="46"/>
    <col min="14593" max="14593" width="46.3" style="46" customWidth="1"/>
    <col min="14594" max="14594" width="50.5" style="46" customWidth="1"/>
    <col min="14595" max="14595" width="35.1" style="46" customWidth="1"/>
    <col min="14596" max="14848" width="9" style="46"/>
    <col min="14849" max="14849" width="46.3" style="46" customWidth="1"/>
    <col min="14850" max="14850" width="50.5" style="46" customWidth="1"/>
    <col min="14851" max="14851" width="35.1" style="46" customWidth="1"/>
    <col min="14852" max="15104" width="9" style="46"/>
    <col min="15105" max="15105" width="46.3" style="46" customWidth="1"/>
    <col min="15106" max="15106" width="50.5" style="46" customWidth="1"/>
    <col min="15107" max="15107" width="35.1" style="46" customWidth="1"/>
    <col min="15108" max="15360" width="9" style="46"/>
    <col min="15361" max="15361" width="46.3" style="46" customWidth="1"/>
    <col min="15362" max="15362" width="50.5" style="46" customWidth="1"/>
    <col min="15363" max="15363" width="35.1" style="46" customWidth="1"/>
    <col min="15364" max="15616" width="9" style="46"/>
    <col min="15617" max="15617" width="46.3" style="46" customWidth="1"/>
    <col min="15618" max="15618" width="50.5" style="46" customWidth="1"/>
    <col min="15619" max="15619" width="35.1" style="46" customWidth="1"/>
    <col min="15620" max="15872" width="9" style="46"/>
    <col min="15873" max="15873" width="46.3" style="46" customWidth="1"/>
    <col min="15874" max="15874" width="50.5" style="46" customWidth="1"/>
    <col min="15875" max="15875" width="35.1" style="46" customWidth="1"/>
    <col min="15876" max="16128" width="9" style="46"/>
    <col min="16129" max="16129" width="46.3" style="46" customWidth="1"/>
    <col min="16130" max="16130" width="50.5" style="46" customWidth="1"/>
    <col min="16131" max="16131" width="35.1" style="46" customWidth="1"/>
    <col min="16132" max="16384" width="9" style="46"/>
  </cols>
  <sheetData>
    <row r="1" ht="24" spans="1:1">
      <c r="A1" s="47" t="s">
        <v>277</v>
      </c>
    </row>
    <row r="2" s="45" customFormat="1" ht="18" customHeight="1" spans="1:3">
      <c r="A2" s="48" t="s">
        <v>278</v>
      </c>
      <c r="B2" s="49" t="s">
        <v>86</v>
      </c>
      <c r="C2" s="50" t="s">
        <v>87</v>
      </c>
    </row>
    <row r="3" ht="18" customHeight="1" spans="1:3">
      <c r="A3" s="51" t="s">
        <v>279</v>
      </c>
      <c r="B3" s="52" t="s">
        <v>280</v>
      </c>
      <c r="C3" s="53" t="s">
        <v>281</v>
      </c>
    </row>
    <row r="4" ht="18" customHeight="1" spans="1:3">
      <c r="A4" s="51" t="s">
        <v>282</v>
      </c>
      <c r="B4" s="52" t="s">
        <v>283</v>
      </c>
      <c r="C4" s="53"/>
    </row>
    <row r="5" ht="18" customHeight="1" spans="1:3">
      <c r="A5" s="51" t="s">
        <v>284</v>
      </c>
      <c r="B5" s="52" t="s">
        <v>285</v>
      </c>
      <c r="C5" s="53"/>
    </row>
    <row r="6" ht="18" customHeight="1" spans="1:3">
      <c r="A6" s="51" t="s">
        <v>286</v>
      </c>
      <c r="B6" s="52" t="s">
        <v>287</v>
      </c>
      <c r="C6" s="53"/>
    </row>
    <row r="7" ht="18" customHeight="1" spans="1:3">
      <c r="A7" s="51" t="s">
        <v>288</v>
      </c>
      <c r="B7" s="52" t="s">
        <v>289</v>
      </c>
      <c r="C7" s="53"/>
    </row>
    <row r="8" ht="18" customHeight="1" spans="1:3">
      <c r="A8" s="51" t="s">
        <v>290</v>
      </c>
      <c r="B8" s="52" t="s">
        <v>291</v>
      </c>
      <c r="C8" s="53"/>
    </row>
    <row r="9" ht="18" customHeight="1" spans="1:3">
      <c r="A9" s="51" t="s">
        <v>292</v>
      </c>
      <c r="B9" s="52" t="s">
        <v>293</v>
      </c>
      <c r="C9" s="53"/>
    </row>
    <row r="10" ht="18" customHeight="1" spans="1:3">
      <c r="A10" s="51" t="s">
        <v>294</v>
      </c>
      <c r="B10" s="52" t="s">
        <v>295</v>
      </c>
      <c r="C10" s="53"/>
    </row>
    <row r="11" ht="18" customHeight="1" spans="1:3">
      <c r="A11" s="51" t="s">
        <v>296</v>
      </c>
      <c r="B11" s="52" t="s">
        <v>297</v>
      </c>
      <c r="C11" s="53"/>
    </row>
    <row r="12" ht="18" customHeight="1" spans="1:3">
      <c r="A12" s="51" t="s">
        <v>298</v>
      </c>
      <c r="B12" s="52" t="s">
        <v>299</v>
      </c>
      <c r="C12" s="53"/>
    </row>
    <row r="13" ht="18" customHeight="1" spans="1:3">
      <c r="A13" s="51" t="s">
        <v>300</v>
      </c>
      <c r="B13" s="52" t="s">
        <v>301</v>
      </c>
      <c r="C13" s="53"/>
    </row>
    <row r="14" ht="18" customHeight="1" spans="1:3">
      <c r="A14" s="51" t="s">
        <v>302</v>
      </c>
      <c r="B14" s="52" t="s">
        <v>303</v>
      </c>
      <c r="C14" s="53"/>
    </row>
    <row r="15" ht="18" customHeight="1" spans="1:3">
      <c r="A15" s="51" t="s">
        <v>304</v>
      </c>
      <c r="B15" s="52" t="s">
        <v>305</v>
      </c>
      <c r="C15" s="53"/>
    </row>
    <row r="16" ht="18" customHeight="1" spans="1:3">
      <c r="A16" s="51" t="s">
        <v>306</v>
      </c>
      <c r="B16" s="52" t="s">
        <v>307</v>
      </c>
      <c r="C16" s="53"/>
    </row>
    <row r="17" ht="18" customHeight="1" spans="1:3">
      <c r="A17" s="51" t="s">
        <v>308</v>
      </c>
      <c r="B17" s="52" t="s">
        <v>309</v>
      </c>
      <c r="C17" s="53"/>
    </row>
    <row r="18" ht="18" customHeight="1" spans="1:3">
      <c r="A18" s="51" t="s">
        <v>310</v>
      </c>
      <c r="B18" s="52" t="s">
        <v>311</v>
      </c>
      <c r="C18" s="53"/>
    </row>
    <row r="19" ht="18" customHeight="1" spans="1:3">
      <c r="A19" s="51" t="s">
        <v>312</v>
      </c>
      <c r="B19" s="52" t="s">
        <v>313</v>
      </c>
      <c r="C19" s="53"/>
    </row>
    <row r="20" ht="18" customHeight="1" spans="1:3">
      <c r="A20" s="51" t="s">
        <v>314</v>
      </c>
      <c r="B20" s="52" t="s">
        <v>315</v>
      </c>
      <c r="C20" s="53"/>
    </row>
    <row r="21" ht="18" customHeight="1" spans="1:3">
      <c r="A21" s="51" t="s">
        <v>316</v>
      </c>
      <c r="B21" s="52"/>
      <c r="C21" s="53"/>
    </row>
    <row r="22" ht="18" customHeight="1" spans="1:3">
      <c r="A22" s="51" t="s">
        <v>317</v>
      </c>
      <c r="B22" s="52"/>
      <c r="C22" s="53"/>
    </row>
    <row r="23" ht="18" customHeight="1" spans="1:3">
      <c r="A23" s="51" t="s">
        <v>318</v>
      </c>
      <c r="B23" s="52"/>
      <c r="C23" s="53"/>
    </row>
    <row r="24" ht="18" customHeight="1" spans="1:3">
      <c r="A24" s="51" t="s">
        <v>319</v>
      </c>
      <c r="B24" s="52"/>
      <c r="C24" s="53"/>
    </row>
    <row r="25" ht="18" customHeight="1" spans="1:3">
      <c r="A25" s="51" t="s">
        <v>320</v>
      </c>
      <c r="B25" s="52"/>
      <c r="C25" s="53"/>
    </row>
    <row r="26" ht="18" customHeight="1" spans="1:3">
      <c r="A26" s="51" t="s">
        <v>321</v>
      </c>
      <c r="B26" s="52"/>
      <c r="C26" s="53"/>
    </row>
    <row r="27" ht="18" customHeight="1" spans="1:3">
      <c r="A27" s="51" t="s">
        <v>322</v>
      </c>
      <c r="B27" s="52"/>
      <c r="C27" s="53"/>
    </row>
    <row r="28" ht="18" customHeight="1" spans="1:3">
      <c r="A28" s="51" t="s">
        <v>323</v>
      </c>
      <c r="B28" s="52"/>
      <c r="C28" s="53"/>
    </row>
    <row r="29" ht="18" customHeight="1" spans="1:3">
      <c r="A29" s="51" t="s">
        <v>324</v>
      </c>
      <c r="B29" s="52"/>
      <c r="C29" s="53"/>
    </row>
    <row r="30" ht="18" customHeight="1" spans="1:3">
      <c r="A30" s="51" t="s">
        <v>325</v>
      </c>
      <c r="B30" s="52"/>
      <c r="C30" s="53"/>
    </row>
    <row r="31" ht="18" customHeight="1" spans="1:3">
      <c r="A31" s="51" t="s">
        <v>326</v>
      </c>
      <c r="B31" s="52"/>
      <c r="C31" s="53"/>
    </row>
    <row r="32" ht="18" customHeight="1" spans="1:3">
      <c r="A32" s="51" t="s">
        <v>327</v>
      </c>
      <c r="B32" s="52"/>
      <c r="C32" s="53"/>
    </row>
    <row r="33" ht="18" customHeight="1" spans="1:3">
      <c r="A33" s="51" t="s">
        <v>328</v>
      </c>
      <c r="B33" s="52"/>
      <c r="C33" s="53"/>
    </row>
    <row r="34" ht="18" customHeight="1" spans="1:3">
      <c r="A34" s="51" t="s">
        <v>329</v>
      </c>
      <c r="B34" s="52"/>
      <c r="C34" s="53"/>
    </row>
    <row r="35" ht="18" customHeight="1" spans="1:3">
      <c r="A35" s="51" t="s">
        <v>330</v>
      </c>
      <c r="B35" s="52"/>
      <c r="C35" s="53"/>
    </row>
    <row r="36" ht="18" customHeight="1" spans="1:3">
      <c r="A36" s="51" t="s">
        <v>331</v>
      </c>
      <c r="B36" s="52"/>
      <c r="C36" s="53"/>
    </row>
    <row r="37" ht="18" customHeight="1" spans="1:3">
      <c r="A37" s="51" t="s">
        <v>332</v>
      </c>
      <c r="B37" s="52"/>
      <c r="C37" s="53"/>
    </row>
    <row r="38" ht="18" customHeight="1" spans="1:3">
      <c r="A38" s="51" t="s">
        <v>333</v>
      </c>
      <c r="B38" s="52"/>
      <c r="C38" s="53"/>
    </row>
    <row r="39" ht="18" customHeight="1" spans="1:3">
      <c r="A39" s="51" t="s">
        <v>334</v>
      </c>
      <c r="B39" s="52"/>
      <c r="C39" s="53"/>
    </row>
    <row r="40" ht="18" customHeight="1" spans="1:3">
      <c r="A40" s="51" t="s">
        <v>335</v>
      </c>
      <c r="B40" s="52"/>
      <c r="C40" s="53"/>
    </row>
    <row r="41" ht="18" customHeight="1" spans="1:3">
      <c r="A41" s="51" t="s">
        <v>336</v>
      </c>
      <c r="B41" s="52"/>
      <c r="C41" s="53"/>
    </row>
    <row r="42" ht="18" customHeight="1" spans="1:3">
      <c r="A42" s="51" t="s">
        <v>337</v>
      </c>
      <c r="B42" s="52"/>
      <c r="C42" s="53"/>
    </row>
    <row r="43" ht="18" customHeight="1" spans="1:3">
      <c r="A43" s="51" t="s">
        <v>338</v>
      </c>
      <c r="B43" s="52"/>
      <c r="C43" s="53"/>
    </row>
    <row r="44" ht="18" customHeight="1" spans="1:3">
      <c r="A44" s="51" t="s">
        <v>339</v>
      </c>
      <c r="B44" s="52"/>
      <c r="C44" s="53"/>
    </row>
    <row r="45" ht="18" customHeight="1" spans="1:3">
      <c r="A45" s="51" t="s">
        <v>340</v>
      </c>
      <c r="B45" s="52"/>
      <c r="C45" s="53"/>
    </row>
    <row r="46" ht="18" customHeight="1" spans="1:3">
      <c r="A46" s="51" t="s">
        <v>341</v>
      </c>
      <c r="B46" s="52"/>
      <c r="C46" s="53"/>
    </row>
    <row r="47" ht="18" customHeight="1" spans="1:3">
      <c r="A47" s="51" t="s">
        <v>342</v>
      </c>
      <c r="B47" s="52"/>
      <c r="C47" s="53"/>
    </row>
    <row r="48" ht="18" customHeight="1" spans="1:3">
      <c r="A48" s="51" t="s">
        <v>343</v>
      </c>
      <c r="B48" s="52"/>
      <c r="C48" s="53"/>
    </row>
    <row r="49" ht="18" customHeight="1" spans="1:3">
      <c r="A49" s="51" t="s">
        <v>344</v>
      </c>
      <c r="B49" s="52"/>
      <c r="C49" s="53"/>
    </row>
    <row r="50" ht="18" customHeight="1" spans="1:3">
      <c r="A50" s="51" t="s">
        <v>345</v>
      </c>
      <c r="B50" s="52"/>
      <c r="C50" s="53"/>
    </row>
    <row r="51" ht="18" customHeight="1" spans="1:3">
      <c r="A51" s="51" t="s">
        <v>346</v>
      </c>
      <c r="B51" s="52"/>
      <c r="C51" s="53"/>
    </row>
    <row r="52" ht="18" customHeight="1" spans="1:3">
      <c r="A52" s="51" t="s">
        <v>347</v>
      </c>
      <c r="B52" s="52"/>
      <c r="C52" s="53"/>
    </row>
    <row r="53" ht="18" customHeight="1" spans="1:3">
      <c r="A53" s="51" t="s">
        <v>348</v>
      </c>
      <c r="B53" s="52"/>
      <c r="C53" s="53"/>
    </row>
    <row r="54" ht="18" customHeight="1" spans="1:3">
      <c r="A54" s="51" t="s">
        <v>349</v>
      </c>
      <c r="B54" s="52"/>
      <c r="C54" s="53"/>
    </row>
    <row r="55" ht="18" customHeight="1" spans="1:3">
      <c r="A55" s="51" t="s">
        <v>350</v>
      </c>
      <c r="B55" s="52"/>
      <c r="C55" s="53"/>
    </row>
    <row r="56" ht="18" customHeight="1" spans="1:3">
      <c r="A56" s="51" t="s">
        <v>351</v>
      </c>
      <c r="B56" s="52"/>
      <c r="C56" s="53"/>
    </row>
    <row r="57" ht="18" customHeight="1" spans="1:3">
      <c r="A57" s="51" t="s">
        <v>352</v>
      </c>
      <c r="B57" s="52"/>
      <c r="C57" s="53"/>
    </row>
    <row r="58" ht="18" customHeight="1" spans="1:3">
      <c r="A58" s="51" t="s">
        <v>353</v>
      </c>
      <c r="B58" s="52"/>
      <c r="C58" s="53"/>
    </row>
    <row r="59" ht="18" customHeight="1" spans="1:3">
      <c r="A59" s="51" t="s">
        <v>354</v>
      </c>
      <c r="B59" s="52"/>
      <c r="C59" s="53"/>
    </row>
    <row r="60" ht="18" customHeight="1" spans="1:3">
      <c r="A60" s="51" t="s">
        <v>355</v>
      </c>
      <c r="B60" s="52"/>
      <c r="C60" s="53"/>
    </row>
    <row r="61" ht="18" customHeight="1" spans="1:3">
      <c r="A61" s="51" t="s">
        <v>356</v>
      </c>
      <c r="B61" s="52"/>
      <c r="C61" s="53"/>
    </row>
    <row r="62" ht="18" customHeight="1" spans="1:3">
      <c r="A62" s="51" t="s">
        <v>357</v>
      </c>
      <c r="B62" s="52"/>
      <c r="C62" s="53"/>
    </row>
    <row r="63" ht="18" customHeight="1" spans="1:3">
      <c r="A63" s="51" t="s">
        <v>358</v>
      </c>
      <c r="B63" s="52"/>
      <c r="C63" s="53"/>
    </row>
    <row r="64" ht="18" customHeight="1" spans="1:3">
      <c r="A64" s="51" t="s">
        <v>359</v>
      </c>
      <c r="B64" s="52"/>
      <c r="C64" s="53"/>
    </row>
    <row r="65" ht="18" customHeight="1" spans="1:3">
      <c r="A65" s="51" t="s">
        <v>360</v>
      </c>
      <c r="B65" s="52"/>
      <c r="C65" s="53"/>
    </row>
    <row r="66" ht="18" customHeight="1" spans="1:3">
      <c r="A66" s="51" t="s">
        <v>361</v>
      </c>
      <c r="B66" s="52"/>
      <c r="C66" s="53"/>
    </row>
    <row r="67" ht="18" customHeight="1" spans="1:3">
      <c r="A67" s="51" t="s">
        <v>362</v>
      </c>
      <c r="B67" s="52"/>
      <c r="C67" s="53"/>
    </row>
    <row r="68" ht="18" customHeight="1" spans="1:3">
      <c r="A68" s="51" t="s">
        <v>363</v>
      </c>
      <c r="B68" s="52"/>
      <c r="C68" s="53"/>
    </row>
    <row r="69" ht="18" customHeight="1" spans="1:3">
      <c r="A69" s="51" t="s">
        <v>364</v>
      </c>
      <c r="B69" s="52"/>
      <c r="C69" s="53"/>
    </row>
    <row r="70" ht="18" customHeight="1" spans="1:3">
      <c r="A70" s="51" t="s">
        <v>365</v>
      </c>
      <c r="B70" s="52"/>
      <c r="C70" s="53"/>
    </row>
    <row r="71" ht="18" customHeight="1" spans="1:3">
      <c r="A71" s="51" t="s">
        <v>366</v>
      </c>
      <c r="B71" s="52"/>
      <c r="C71" s="53"/>
    </row>
    <row r="72" ht="18" customHeight="1" spans="1:3">
      <c r="A72" s="51" t="s">
        <v>367</v>
      </c>
      <c r="B72" s="52"/>
      <c r="C72" s="53"/>
    </row>
    <row r="73" ht="18" customHeight="1" spans="1:3">
      <c r="A73" s="51" t="s">
        <v>368</v>
      </c>
      <c r="B73" s="52"/>
      <c r="C73" s="53"/>
    </row>
    <row r="74" ht="18" customHeight="1" spans="1:3">
      <c r="A74" s="51" t="s">
        <v>369</v>
      </c>
      <c r="B74" s="52"/>
      <c r="C74" s="53"/>
    </row>
    <row r="75" ht="18" customHeight="1" spans="1:3">
      <c r="A75" s="51" t="s">
        <v>370</v>
      </c>
      <c r="B75" s="52"/>
      <c r="C75" s="53"/>
    </row>
    <row r="76" ht="18" customHeight="1" spans="1:3">
      <c r="A76" s="51" t="s">
        <v>371</v>
      </c>
      <c r="B76" s="52"/>
      <c r="C76" s="53"/>
    </row>
    <row r="77" ht="18" customHeight="1" spans="1:3">
      <c r="A77" s="51" t="s">
        <v>372</v>
      </c>
      <c r="B77" s="52"/>
      <c r="C77" s="53"/>
    </row>
    <row r="78" ht="18" customHeight="1" spans="1:3">
      <c r="A78" s="51" t="s">
        <v>373</v>
      </c>
      <c r="B78" s="52"/>
      <c r="C78" s="53"/>
    </row>
    <row r="79" ht="18" customHeight="1" spans="1:3">
      <c r="A79" s="51" t="s">
        <v>374</v>
      </c>
      <c r="B79" s="52"/>
      <c r="C79" s="53"/>
    </row>
    <row r="80" ht="18" customHeight="1" spans="1:3">
      <c r="A80" s="51" t="s">
        <v>375</v>
      </c>
      <c r="B80" s="52"/>
      <c r="C80" s="53"/>
    </row>
    <row r="81" ht="18" customHeight="1" spans="1:3">
      <c r="A81" s="51" t="s">
        <v>376</v>
      </c>
      <c r="B81" s="52"/>
      <c r="C81" s="53"/>
    </row>
    <row r="82" ht="18" customHeight="1" spans="1:3">
      <c r="A82" s="51" t="s">
        <v>377</v>
      </c>
      <c r="B82" s="52"/>
      <c r="C82" s="53"/>
    </row>
    <row r="83" ht="18" customHeight="1" spans="1:3">
      <c r="A83" s="51" t="s">
        <v>378</v>
      </c>
      <c r="B83" s="52"/>
      <c r="C83" s="53"/>
    </row>
    <row r="84" ht="18" customHeight="1" spans="1:3">
      <c r="A84" s="51" t="s">
        <v>379</v>
      </c>
      <c r="B84" s="52"/>
      <c r="C84" s="53"/>
    </row>
    <row r="85" ht="18" customHeight="1" spans="1:3">
      <c r="A85" s="51" t="s">
        <v>380</v>
      </c>
      <c r="B85" s="52"/>
      <c r="C85" s="53"/>
    </row>
    <row r="86" ht="18" customHeight="1" spans="1:3">
      <c r="A86" s="51" t="s">
        <v>381</v>
      </c>
      <c r="B86" s="52"/>
      <c r="C86" s="53"/>
    </row>
    <row r="87" ht="18" customHeight="1" spans="1:3">
      <c r="A87" s="51" t="s">
        <v>382</v>
      </c>
      <c r="B87" s="52"/>
      <c r="C87" s="53"/>
    </row>
    <row r="88" ht="18" customHeight="1" spans="1:3">
      <c r="A88" s="51" t="s">
        <v>383</v>
      </c>
      <c r="B88" s="52"/>
      <c r="C88" s="53"/>
    </row>
    <row r="89" ht="18" customHeight="1" spans="1:3">
      <c r="A89" s="51" t="s">
        <v>384</v>
      </c>
      <c r="B89" s="52"/>
      <c r="C89" s="53"/>
    </row>
    <row r="90" ht="18" customHeight="1" spans="1:3">
      <c r="A90" s="51" t="s">
        <v>385</v>
      </c>
      <c r="B90" s="52"/>
      <c r="C90" s="53"/>
    </row>
    <row r="91" ht="18" customHeight="1" spans="1:3">
      <c r="A91" s="51" t="s">
        <v>386</v>
      </c>
      <c r="B91" s="52"/>
      <c r="C91" s="53"/>
    </row>
    <row r="92" ht="18" customHeight="1" spans="1:3">
      <c r="A92" s="51" t="s">
        <v>387</v>
      </c>
      <c r="B92" s="52"/>
      <c r="C92" s="53"/>
    </row>
    <row r="93" ht="18" customHeight="1" spans="1:3">
      <c r="A93" s="51" t="s">
        <v>388</v>
      </c>
      <c r="B93" s="52"/>
      <c r="C93" s="53"/>
    </row>
    <row r="94" ht="18" customHeight="1" spans="1:3">
      <c r="A94" s="51" t="s">
        <v>389</v>
      </c>
      <c r="B94" s="52"/>
      <c r="C94" s="53"/>
    </row>
    <row r="95" ht="18" customHeight="1" spans="1:3">
      <c r="A95" s="51" t="s">
        <v>390</v>
      </c>
      <c r="B95" s="52"/>
      <c r="C95" s="53"/>
    </row>
    <row r="96" ht="18" customHeight="1" spans="1:3">
      <c r="A96" s="51" t="s">
        <v>391</v>
      </c>
      <c r="B96" s="52"/>
      <c r="C96" s="53"/>
    </row>
    <row r="97" ht="18" customHeight="1" spans="1:3">
      <c r="A97" s="51" t="s">
        <v>392</v>
      </c>
      <c r="B97" s="52"/>
      <c r="C97" s="53"/>
    </row>
    <row r="98" ht="18" customHeight="1" spans="1:3">
      <c r="A98" s="51" t="s">
        <v>393</v>
      </c>
      <c r="B98" s="52"/>
      <c r="C98" s="53"/>
    </row>
    <row r="99" ht="18" customHeight="1" spans="1:3">
      <c r="A99" s="51" t="s">
        <v>394</v>
      </c>
      <c r="B99" s="52"/>
      <c r="C99" s="53"/>
    </row>
    <row r="100" ht="18" customHeight="1" spans="1:3">
      <c r="A100" s="51" t="s">
        <v>395</v>
      </c>
      <c r="B100" s="52"/>
      <c r="C100" s="53"/>
    </row>
    <row r="101" ht="18" customHeight="1" spans="1:3">
      <c r="A101" s="51" t="s">
        <v>396</v>
      </c>
      <c r="B101" s="52"/>
      <c r="C101" s="53"/>
    </row>
    <row r="102" ht="18" customHeight="1" spans="1:3">
      <c r="A102" s="51" t="s">
        <v>397</v>
      </c>
      <c r="B102" s="52"/>
      <c r="C102" s="53"/>
    </row>
    <row r="103" ht="18" customHeight="1" spans="1:3">
      <c r="A103" s="51" t="s">
        <v>398</v>
      </c>
      <c r="B103" s="52"/>
      <c r="C103" s="53"/>
    </row>
    <row r="104" ht="18" customHeight="1" spans="1:3">
      <c r="A104" s="51" t="s">
        <v>399</v>
      </c>
      <c r="B104" s="52"/>
      <c r="C104" s="53"/>
    </row>
    <row r="105" ht="18" customHeight="1" spans="1:3">
      <c r="A105" s="51" t="s">
        <v>400</v>
      </c>
      <c r="B105" s="52"/>
      <c r="C105" s="53"/>
    </row>
    <row r="106" ht="18" customHeight="1" spans="1:3">
      <c r="A106" s="51" t="s">
        <v>401</v>
      </c>
      <c r="B106" s="52"/>
      <c r="C106" s="53"/>
    </row>
    <row r="107" ht="18" customHeight="1" spans="1:3">
      <c r="A107" s="51" t="s">
        <v>402</v>
      </c>
      <c r="B107" s="52"/>
      <c r="C107" s="53"/>
    </row>
    <row r="108" ht="18" customHeight="1" spans="1:3">
      <c r="A108" s="51" t="s">
        <v>403</v>
      </c>
      <c r="B108" s="52"/>
      <c r="C108" s="53"/>
    </row>
    <row r="109" ht="18" customHeight="1" spans="1:3">
      <c r="A109" s="51" t="s">
        <v>404</v>
      </c>
      <c r="B109" s="52"/>
      <c r="C109" s="53"/>
    </row>
    <row r="110" ht="18" customHeight="1" spans="1:3">
      <c r="A110" s="51" t="s">
        <v>405</v>
      </c>
      <c r="B110" s="52"/>
      <c r="C110" s="53"/>
    </row>
    <row r="111" ht="18" customHeight="1" spans="1:3">
      <c r="A111" s="51" t="s">
        <v>406</v>
      </c>
      <c r="B111" s="52"/>
      <c r="C111" s="53"/>
    </row>
    <row r="112" ht="18" customHeight="1" spans="1:3">
      <c r="A112" s="51" t="s">
        <v>407</v>
      </c>
      <c r="B112" s="52"/>
      <c r="C112" s="53"/>
    </row>
    <row r="113" ht="18" customHeight="1" spans="1:3">
      <c r="A113" s="51" t="s">
        <v>408</v>
      </c>
      <c r="B113" s="52"/>
      <c r="C113" s="53"/>
    </row>
    <row r="114" ht="18" customHeight="1" spans="1:3">
      <c r="A114" s="51" t="s">
        <v>409</v>
      </c>
      <c r="B114" s="52"/>
      <c r="C114" s="53"/>
    </row>
    <row r="115" ht="18" customHeight="1" spans="1:3">
      <c r="A115" s="51" t="s">
        <v>410</v>
      </c>
      <c r="B115" s="52"/>
      <c r="C115" s="53"/>
    </row>
    <row r="116" ht="18" customHeight="1" spans="1:3">
      <c r="A116" s="51" t="s">
        <v>411</v>
      </c>
      <c r="B116" s="52"/>
      <c r="C116" s="53"/>
    </row>
    <row r="117" ht="18" customHeight="1" spans="1:3">
      <c r="A117" s="51" t="s">
        <v>412</v>
      </c>
      <c r="B117" s="52"/>
      <c r="C117" s="53"/>
    </row>
    <row r="118" ht="18" customHeight="1" spans="1:3">
      <c r="A118" s="51" t="s">
        <v>413</v>
      </c>
      <c r="B118" s="52"/>
      <c r="C118" s="53"/>
    </row>
    <row r="119" ht="18" customHeight="1" spans="1:3">
      <c r="A119" s="51" t="s">
        <v>414</v>
      </c>
      <c r="B119" s="52"/>
      <c r="C119" s="53"/>
    </row>
    <row r="120" ht="18" customHeight="1" spans="1:3">
      <c r="A120" s="51" t="s">
        <v>415</v>
      </c>
      <c r="B120" s="52"/>
      <c r="C120" s="53"/>
    </row>
    <row r="121" ht="18" customHeight="1" spans="1:3">
      <c r="A121" s="51" t="s">
        <v>416</v>
      </c>
      <c r="B121" s="52"/>
      <c r="C121" s="53"/>
    </row>
    <row r="122" ht="18" customHeight="1" spans="1:3">
      <c r="A122" s="51" t="s">
        <v>417</v>
      </c>
      <c r="B122" s="52"/>
      <c r="C122" s="53"/>
    </row>
    <row r="123" ht="18" customHeight="1" spans="1:3">
      <c r="A123" s="51" t="s">
        <v>418</v>
      </c>
      <c r="B123" s="52"/>
      <c r="C123" s="53"/>
    </row>
    <row r="124" ht="18" customHeight="1" spans="1:3">
      <c r="A124" s="51" t="s">
        <v>419</v>
      </c>
      <c r="B124" s="52"/>
      <c r="C124" s="53"/>
    </row>
    <row r="125" ht="18" customHeight="1" spans="1:3">
      <c r="A125" s="51" t="s">
        <v>420</v>
      </c>
      <c r="B125" s="52"/>
      <c r="C125" s="53"/>
    </row>
    <row r="126" ht="18" customHeight="1" spans="1:3">
      <c r="A126" s="51" t="s">
        <v>421</v>
      </c>
      <c r="B126" s="52"/>
      <c r="C126" s="53"/>
    </row>
    <row r="127" ht="18" customHeight="1" spans="1:3">
      <c r="A127" s="51" t="s">
        <v>422</v>
      </c>
      <c r="B127" s="52"/>
      <c r="C127" s="53"/>
    </row>
    <row r="128" ht="18" customHeight="1" spans="1:3">
      <c r="A128" s="51" t="s">
        <v>423</v>
      </c>
      <c r="B128" s="52"/>
      <c r="C128" s="53"/>
    </row>
    <row r="129" ht="18" customHeight="1" spans="1:3">
      <c r="A129" s="51" t="s">
        <v>424</v>
      </c>
      <c r="B129" s="52"/>
      <c r="C129" s="53"/>
    </row>
    <row r="130" ht="18" customHeight="1" spans="1:3">
      <c r="A130" s="51" t="s">
        <v>425</v>
      </c>
      <c r="B130" s="52"/>
      <c r="C130" s="53"/>
    </row>
    <row r="131" ht="18" customHeight="1" spans="1:3">
      <c r="A131" s="51" t="s">
        <v>426</v>
      </c>
      <c r="B131" s="52"/>
      <c r="C131" s="53"/>
    </row>
    <row r="132" ht="18" customHeight="1" spans="1:3">
      <c r="A132" s="51" t="s">
        <v>427</v>
      </c>
      <c r="B132" s="52"/>
      <c r="C132" s="53"/>
    </row>
    <row r="133" ht="18" customHeight="1" spans="1:3">
      <c r="A133" s="51" t="s">
        <v>428</v>
      </c>
      <c r="B133" s="52"/>
      <c r="C133" s="53"/>
    </row>
    <row r="134" ht="18" customHeight="1" spans="1:3">
      <c r="A134" s="51" t="s">
        <v>429</v>
      </c>
      <c r="B134" s="52"/>
      <c r="C134" s="53"/>
    </row>
    <row r="135" ht="18" customHeight="1" spans="1:3">
      <c r="A135" s="51" t="s">
        <v>430</v>
      </c>
      <c r="B135" s="52"/>
      <c r="C135" s="53"/>
    </row>
    <row r="136" ht="18" customHeight="1" spans="1:3">
      <c r="A136" s="51" t="s">
        <v>431</v>
      </c>
      <c r="B136" s="52"/>
      <c r="C136" s="53"/>
    </row>
    <row r="137" ht="18" customHeight="1" spans="1:3">
      <c r="A137" s="51" t="s">
        <v>432</v>
      </c>
      <c r="B137" s="52"/>
      <c r="C137" s="53"/>
    </row>
    <row r="138" ht="18" customHeight="1" spans="1:3">
      <c r="A138" s="51" t="s">
        <v>433</v>
      </c>
      <c r="B138" s="52"/>
      <c r="C138" s="53"/>
    </row>
    <row r="139" ht="18" customHeight="1" spans="1:3">
      <c r="A139" s="51" t="s">
        <v>434</v>
      </c>
      <c r="B139" s="52"/>
      <c r="C139" s="53"/>
    </row>
    <row r="140" ht="18" customHeight="1" spans="1:3">
      <c r="A140" s="51" t="s">
        <v>435</v>
      </c>
      <c r="B140" s="52"/>
      <c r="C140" s="53"/>
    </row>
    <row r="141" ht="18" customHeight="1" spans="1:3">
      <c r="A141" s="51" t="s">
        <v>436</v>
      </c>
      <c r="B141" s="52"/>
      <c r="C141" s="53"/>
    </row>
    <row r="142" ht="18" customHeight="1" spans="1:3">
      <c r="A142" s="51" t="s">
        <v>437</v>
      </c>
      <c r="B142" s="52"/>
      <c r="C142" s="53"/>
    </row>
    <row r="143" ht="18" customHeight="1" spans="1:3">
      <c r="A143" s="51" t="s">
        <v>438</v>
      </c>
      <c r="B143" s="52"/>
      <c r="C143" s="53"/>
    </row>
    <row r="144" ht="18" customHeight="1" spans="1:3">
      <c r="A144" s="51" t="s">
        <v>439</v>
      </c>
      <c r="B144" s="52"/>
      <c r="C144" s="53"/>
    </row>
    <row r="145" ht="18" customHeight="1" spans="1:3">
      <c r="A145" s="51" t="s">
        <v>440</v>
      </c>
      <c r="B145" s="52"/>
      <c r="C145" s="53"/>
    </row>
    <row r="146" ht="18" customHeight="1" spans="1:3">
      <c r="A146" s="51" t="s">
        <v>441</v>
      </c>
      <c r="B146" s="52"/>
      <c r="C146" s="53"/>
    </row>
    <row r="147" ht="18" customHeight="1" spans="1:3">
      <c r="A147" s="51" t="s">
        <v>442</v>
      </c>
      <c r="B147" s="52"/>
      <c r="C147" s="53"/>
    </row>
    <row r="148" ht="18" customHeight="1" spans="1:3">
      <c r="A148" s="51" t="s">
        <v>443</v>
      </c>
      <c r="B148" s="52"/>
      <c r="C148" s="53"/>
    </row>
    <row r="149" ht="18" customHeight="1" spans="1:3">
      <c r="A149" s="51" t="s">
        <v>444</v>
      </c>
      <c r="B149" s="52"/>
      <c r="C149" s="53"/>
    </row>
    <row r="150" ht="18" customHeight="1" spans="1:3">
      <c r="A150" s="51" t="s">
        <v>445</v>
      </c>
      <c r="B150" s="52"/>
      <c r="C150" s="53"/>
    </row>
    <row r="151" ht="18" customHeight="1" spans="1:3">
      <c r="A151" s="51" t="s">
        <v>446</v>
      </c>
      <c r="B151" s="52"/>
      <c r="C151" s="53"/>
    </row>
    <row r="152" ht="18" customHeight="1" spans="1:3">
      <c r="A152" s="51" t="s">
        <v>447</v>
      </c>
      <c r="B152" s="52"/>
      <c r="C152" s="53"/>
    </row>
    <row r="153" ht="18" customHeight="1" spans="1:3">
      <c r="A153" s="51" t="s">
        <v>448</v>
      </c>
      <c r="B153" s="52"/>
      <c r="C153" s="53"/>
    </row>
    <row r="154" ht="18" customHeight="1" spans="1:3">
      <c r="A154" s="51" t="s">
        <v>449</v>
      </c>
      <c r="B154" s="52"/>
      <c r="C154" s="53"/>
    </row>
    <row r="155" ht="18" customHeight="1" spans="1:3">
      <c r="A155" s="51" t="s">
        <v>450</v>
      </c>
      <c r="B155" s="52"/>
      <c r="C155" s="53"/>
    </row>
    <row r="156" ht="18" customHeight="1" spans="1:3">
      <c r="A156" s="51" t="s">
        <v>102</v>
      </c>
      <c r="B156" s="52"/>
      <c r="C156" s="53"/>
    </row>
    <row r="157" ht="18" customHeight="1" spans="1:3">
      <c r="A157" s="51" t="s">
        <v>451</v>
      </c>
      <c r="B157" s="52"/>
      <c r="C157" s="53"/>
    </row>
    <row r="158" ht="18" customHeight="1" spans="1:3">
      <c r="A158" s="51" t="s">
        <v>452</v>
      </c>
      <c r="B158" s="52"/>
      <c r="C158" s="53"/>
    </row>
    <row r="159" ht="18" customHeight="1" spans="1:3">
      <c r="A159" s="51" t="s">
        <v>453</v>
      </c>
      <c r="B159" s="52"/>
      <c r="C159" s="53"/>
    </row>
    <row r="160" ht="18" customHeight="1" spans="1:3">
      <c r="A160" s="51" t="s">
        <v>454</v>
      </c>
      <c r="B160" s="52"/>
      <c r="C160" s="53"/>
    </row>
    <row r="161" ht="18" customHeight="1" spans="1:3">
      <c r="A161" s="51" t="s">
        <v>455</v>
      </c>
      <c r="B161" s="52"/>
      <c r="C161" s="53"/>
    </row>
    <row r="162" ht="18" customHeight="1" spans="1:3">
      <c r="A162" s="51" t="s">
        <v>456</v>
      </c>
      <c r="B162" s="52"/>
      <c r="C162" s="53"/>
    </row>
    <row r="163" ht="18" customHeight="1" spans="1:3">
      <c r="A163" s="51" t="s">
        <v>457</v>
      </c>
      <c r="B163" s="52"/>
      <c r="C163" s="53"/>
    </row>
    <row r="164" ht="18" customHeight="1" spans="1:3">
      <c r="A164" s="51" t="s">
        <v>458</v>
      </c>
      <c r="B164" s="52"/>
      <c r="C164" s="53"/>
    </row>
    <row r="165" ht="18" customHeight="1" spans="1:3">
      <c r="A165" s="51" t="s">
        <v>459</v>
      </c>
      <c r="B165" s="52"/>
      <c r="C165" s="53"/>
    </row>
    <row r="166" ht="18" customHeight="1" spans="1:3">
      <c r="A166" s="51" t="s">
        <v>460</v>
      </c>
      <c r="B166" s="52"/>
      <c r="C166" s="53"/>
    </row>
    <row r="167" ht="18" customHeight="1" spans="1:3">
      <c r="A167" s="51" t="s">
        <v>461</v>
      </c>
      <c r="B167" s="52"/>
      <c r="C167" s="53"/>
    </row>
    <row r="168" ht="18" customHeight="1" spans="1:3">
      <c r="A168" s="51" t="s">
        <v>462</v>
      </c>
      <c r="B168" s="52"/>
      <c r="C168" s="53"/>
    </row>
    <row r="169" ht="18" customHeight="1" spans="1:3">
      <c r="A169" s="51" t="s">
        <v>463</v>
      </c>
      <c r="B169" s="52"/>
      <c r="C169" s="53"/>
    </row>
    <row r="170" ht="18" customHeight="1" spans="1:3">
      <c r="A170" s="54" t="s">
        <v>464</v>
      </c>
      <c r="B170" s="55"/>
      <c r="C170" s="56"/>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S17"/>
  <sheetViews>
    <sheetView showGridLines="0" showZeros="0" zoomScale="90" zoomScaleNormal="90" workbookViewId="0">
      <pane xSplit="1" ySplit="3" topLeftCell="B4" activePane="bottomRight" state="frozen"/>
      <selection/>
      <selection pane="topRight"/>
      <selection pane="bottomLeft"/>
      <selection pane="bottomRight" activeCell="F7" sqref="F7"/>
    </sheetView>
  </sheetViews>
  <sheetFormatPr defaultColWidth="9" defaultRowHeight="15.75"/>
  <cols>
    <col min="1" max="1" width="4.2" style="5" customWidth="1"/>
    <col min="2" max="2" width="7.1" style="5" customWidth="1"/>
    <col min="3" max="3" width="14.1" style="5" customWidth="1"/>
    <col min="4" max="4" width="16.2" style="5" customWidth="1"/>
    <col min="5" max="5" width="9" style="5"/>
    <col min="6" max="6" width="16.4" style="5" customWidth="1"/>
    <col min="7" max="7" width="9" style="5"/>
    <col min="8" max="8" width="12.7" style="5" customWidth="1"/>
    <col min="9" max="9" width="9" style="5"/>
    <col min="10" max="10" width="11.5" style="5" customWidth="1"/>
    <col min="11" max="11" width="12.5" style="5" customWidth="1"/>
    <col min="12" max="16" width="9" style="5"/>
    <col min="17" max="17" width="12" style="5" customWidth="1"/>
    <col min="18" max="256" width="9" style="5"/>
    <col min="257" max="257" width="4.2" style="5" customWidth="1"/>
    <col min="258" max="258" width="7.1" style="5" customWidth="1"/>
    <col min="259" max="259" width="14.1" style="5" customWidth="1"/>
    <col min="260" max="260" width="16.2" style="5" customWidth="1"/>
    <col min="261" max="261" width="9" style="5"/>
    <col min="262" max="262" width="16.4" style="5" customWidth="1"/>
    <col min="263" max="263" width="9" style="5"/>
    <col min="264" max="264" width="12.7" style="5" customWidth="1"/>
    <col min="265" max="265" width="9" style="5"/>
    <col min="266" max="266" width="11.5" style="5" customWidth="1"/>
    <col min="267" max="267" width="12.5" style="5" customWidth="1"/>
    <col min="268" max="272" width="9" style="5"/>
    <col min="273" max="273" width="12" style="5" customWidth="1"/>
    <col min="274" max="512" width="9" style="5"/>
    <col min="513" max="513" width="4.2" style="5" customWidth="1"/>
    <col min="514" max="514" width="7.1" style="5" customWidth="1"/>
    <col min="515" max="515" width="14.1" style="5" customWidth="1"/>
    <col min="516" max="516" width="16.2" style="5" customWidth="1"/>
    <col min="517" max="517" width="9" style="5"/>
    <col min="518" max="518" width="16.4" style="5" customWidth="1"/>
    <col min="519" max="519" width="9" style="5"/>
    <col min="520" max="520" width="12.7" style="5" customWidth="1"/>
    <col min="521" max="521" width="9" style="5"/>
    <col min="522" max="522" width="11.5" style="5" customWidth="1"/>
    <col min="523" max="523" width="12.5" style="5" customWidth="1"/>
    <col min="524" max="528" width="9" style="5"/>
    <col min="529" max="529" width="12" style="5" customWidth="1"/>
    <col min="530" max="768" width="9" style="5"/>
    <col min="769" max="769" width="4.2" style="5" customWidth="1"/>
    <col min="770" max="770" width="7.1" style="5" customWidth="1"/>
    <col min="771" max="771" width="14.1" style="5" customWidth="1"/>
    <col min="772" max="772" width="16.2" style="5" customWidth="1"/>
    <col min="773" max="773" width="9" style="5"/>
    <col min="774" max="774" width="16.4" style="5" customWidth="1"/>
    <col min="775" max="775" width="9" style="5"/>
    <col min="776" max="776" width="12.7" style="5" customWidth="1"/>
    <col min="777" max="777" width="9" style="5"/>
    <col min="778" max="778" width="11.5" style="5" customWidth="1"/>
    <col min="779" max="779" width="12.5" style="5" customWidth="1"/>
    <col min="780" max="784" width="9" style="5"/>
    <col min="785" max="785" width="12" style="5" customWidth="1"/>
    <col min="786" max="1024" width="9" style="5"/>
    <col min="1025" max="1025" width="4.2" style="5" customWidth="1"/>
    <col min="1026" max="1026" width="7.1" style="5" customWidth="1"/>
    <col min="1027" max="1027" width="14.1" style="5" customWidth="1"/>
    <col min="1028" max="1028" width="16.2" style="5" customWidth="1"/>
    <col min="1029" max="1029" width="9" style="5"/>
    <col min="1030" max="1030" width="16.4" style="5" customWidth="1"/>
    <col min="1031" max="1031" width="9" style="5"/>
    <col min="1032" max="1032" width="12.7" style="5" customWidth="1"/>
    <col min="1033" max="1033" width="9" style="5"/>
    <col min="1034" max="1034" width="11.5" style="5" customWidth="1"/>
    <col min="1035" max="1035" width="12.5" style="5" customWidth="1"/>
    <col min="1036" max="1040" width="9" style="5"/>
    <col min="1041" max="1041" width="12" style="5" customWidth="1"/>
    <col min="1042" max="1280" width="9" style="5"/>
    <col min="1281" max="1281" width="4.2" style="5" customWidth="1"/>
    <col min="1282" max="1282" width="7.1" style="5" customWidth="1"/>
    <col min="1283" max="1283" width="14.1" style="5" customWidth="1"/>
    <col min="1284" max="1284" width="16.2" style="5" customWidth="1"/>
    <col min="1285" max="1285" width="9" style="5"/>
    <col min="1286" max="1286" width="16.4" style="5" customWidth="1"/>
    <col min="1287" max="1287" width="9" style="5"/>
    <col min="1288" max="1288" width="12.7" style="5" customWidth="1"/>
    <col min="1289" max="1289" width="9" style="5"/>
    <col min="1290" max="1290" width="11.5" style="5" customWidth="1"/>
    <col min="1291" max="1291" width="12.5" style="5" customWidth="1"/>
    <col min="1292" max="1296" width="9" style="5"/>
    <col min="1297" max="1297" width="12" style="5" customWidth="1"/>
    <col min="1298" max="1536" width="9" style="5"/>
    <col min="1537" max="1537" width="4.2" style="5" customWidth="1"/>
    <col min="1538" max="1538" width="7.1" style="5" customWidth="1"/>
    <col min="1539" max="1539" width="14.1" style="5" customWidth="1"/>
    <col min="1540" max="1540" width="16.2" style="5" customWidth="1"/>
    <col min="1541" max="1541" width="9" style="5"/>
    <col min="1542" max="1542" width="16.4" style="5" customWidth="1"/>
    <col min="1543" max="1543" width="9" style="5"/>
    <col min="1544" max="1544" width="12.7" style="5" customWidth="1"/>
    <col min="1545" max="1545" width="9" style="5"/>
    <col min="1546" max="1546" width="11.5" style="5" customWidth="1"/>
    <col min="1547" max="1547" width="12.5" style="5" customWidth="1"/>
    <col min="1548" max="1552" width="9" style="5"/>
    <col min="1553" max="1553" width="12" style="5" customWidth="1"/>
    <col min="1554" max="1792" width="9" style="5"/>
    <col min="1793" max="1793" width="4.2" style="5" customWidth="1"/>
    <col min="1794" max="1794" width="7.1" style="5" customWidth="1"/>
    <col min="1795" max="1795" width="14.1" style="5" customWidth="1"/>
    <col min="1796" max="1796" width="16.2" style="5" customWidth="1"/>
    <col min="1797" max="1797" width="9" style="5"/>
    <col min="1798" max="1798" width="16.4" style="5" customWidth="1"/>
    <col min="1799" max="1799" width="9" style="5"/>
    <col min="1800" max="1800" width="12.7" style="5" customWidth="1"/>
    <col min="1801" max="1801" width="9" style="5"/>
    <col min="1802" max="1802" width="11.5" style="5" customWidth="1"/>
    <col min="1803" max="1803" width="12.5" style="5" customWidth="1"/>
    <col min="1804" max="1808" width="9" style="5"/>
    <col min="1809" max="1809" width="12" style="5" customWidth="1"/>
    <col min="1810" max="2048" width="9" style="5"/>
    <col min="2049" max="2049" width="4.2" style="5" customWidth="1"/>
    <col min="2050" max="2050" width="7.1" style="5" customWidth="1"/>
    <col min="2051" max="2051" width="14.1" style="5" customWidth="1"/>
    <col min="2052" max="2052" width="16.2" style="5" customWidth="1"/>
    <col min="2053" max="2053" width="9" style="5"/>
    <col min="2054" max="2054" width="16.4" style="5" customWidth="1"/>
    <col min="2055" max="2055" width="9" style="5"/>
    <col min="2056" max="2056" width="12.7" style="5" customWidth="1"/>
    <col min="2057" max="2057" width="9" style="5"/>
    <col min="2058" max="2058" width="11.5" style="5" customWidth="1"/>
    <col min="2059" max="2059" width="12.5" style="5" customWidth="1"/>
    <col min="2060" max="2064" width="9" style="5"/>
    <col min="2065" max="2065" width="12" style="5" customWidth="1"/>
    <col min="2066" max="2304" width="9" style="5"/>
    <col min="2305" max="2305" width="4.2" style="5" customWidth="1"/>
    <col min="2306" max="2306" width="7.1" style="5" customWidth="1"/>
    <col min="2307" max="2307" width="14.1" style="5" customWidth="1"/>
    <col min="2308" max="2308" width="16.2" style="5" customWidth="1"/>
    <col min="2309" max="2309" width="9" style="5"/>
    <col min="2310" max="2310" width="16.4" style="5" customWidth="1"/>
    <col min="2311" max="2311" width="9" style="5"/>
    <col min="2312" max="2312" width="12.7" style="5" customWidth="1"/>
    <col min="2313" max="2313" width="9" style="5"/>
    <col min="2314" max="2314" width="11.5" style="5" customWidth="1"/>
    <col min="2315" max="2315" width="12.5" style="5" customWidth="1"/>
    <col min="2316" max="2320" width="9" style="5"/>
    <col min="2321" max="2321" width="12" style="5" customWidth="1"/>
    <col min="2322" max="2560" width="9" style="5"/>
    <col min="2561" max="2561" width="4.2" style="5" customWidth="1"/>
    <col min="2562" max="2562" width="7.1" style="5" customWidth="1"/>
    <col min="2563" max="2563" width="14.1" style="5" customWidth="1"/>
    <col min="2564" max="2564" width="16.2" style="5" customWidth="1"/>
    <col min="2565" max="2565" width="9" style="5"/>
    <col min="2566" max="2566" width="16.4" style="5" customWidth="1"/>
    <col min="2567" max="2567" width="9" style="5"/>
    <col min="2568" max="2568" width="12.7" style="5" customWidth="1"/>
    <col min="2569" max="2569" width="9" style="5"/>
    <col min="2570" max="2570" width="11.5" style="5" customWidth="1"/>
    <col min="2571" max="2571" width="12.5" style="5" customWidth="1"/>
    <col min="2572" max="2576" width="9" style="5"/>
    <col min="2577" max="2577" width="12" style="5" customWidth="1"/>
    <col min="2578" max="2816" width="9" style="5"/>
    <col min="2817" max="2817" width="4.2" style="5" customWidth="1"/>
    <col min="2818" max="2818" width="7.1" style="5" customWidth="1"/>
    <col min="2819" max="2819" width="14.1" style="5" customWidth="1"/>
    <col min="2820" max="2820" width="16.2" style="5" customWidth="1"/>
    <col min="2821" max="2821" width="9" style="5"/>
    <col min="2822" max="2822" width="16.4" style="5" customWidth="1"/>
    <col min="2823" max="2823" width="9" style="5"/>
    <col min="2824" max="2824" width="12.7" style="5" customWidth="1"/>
    <col min="2825" max="2825" width="9" style="5"/>
    <col min="2826" max="2826" width="11.5" style="5" customWidth="1"/>
    <col min="2827" max="2827" width="12.5" style="5" customWidth="1"/>
    <col min="2828" max="2832" width="9" style="5"/>
    <col min="2833" max="2833" width="12" style="5" customWidth="1"/>
    <col min="2834" max="3072" width="9" style="5"/>
    <col min="3073" max="3073" width="4.2" style="5" customWidth="1"/>
    <col min="3074" max="3074" width="7.1" style="5" customWidth="1"/>
    <col min="3075" max="3075" width="14.1" style="5" customWidth="1"/>
    <col min="3076" max="3076" width="16.2" style="5" customWidth="1"/>
    <col min="3077" max="3077" width="9" style="5"/>
    <col min="3078" max="3078" width="16.4" style="5" customWidth="1"/>
    <col min="3079" max="3079" width="9" style="5"/>
    <col min="3080" max="3080" width="12.7" style="5" customWidth="1"/>
    <col min="3081" max="3081" width="9" style="5"/>
    <col min="3082" max="3082" width="11.5" style="5" customWidth="1"/>
    <col min="3083" max="3083" width="12.5" style="5" customWidth="1"/>
    <col min="3084" max="3088" width="9" style="5"/>
    <col min="3089" max="3089" width="12" style="5" customWidth="1"/>
    <col min="3090" max="3328" width="9" style="5"/>
    <col min="3329" max="3329" width="4.2" style="5" customWidth="1"/>
    <col min="3330" max="3330" width="7.1" style="5" customWidth="1"/>
    <col min="3331" max="3331" width="14.1" style="5" customWidth="1"/>
    <col min="3332" max="3332" width="16.2" style="5" customWidth="1"/>
    <col min="3333" max="3333" width="9" style="5"/>
    <col min="3334" max="3334" width="16.4" style="5" customWidth="1"/>
    <col min="3335" max="3335" width="9" style="5"/>
    <col min="3336" max="3336" width="12.7" style="5" customWidth="1"/>
    <col min="3337" max="3337" width="9" style="5"/>
    <col min="3338" max="3338" width="11.5" style="5" customWidth="1"/>
    <col min="3339" max="3339" width="12.5" style="5" customWidth="1"/>
    <col min="3340" max="3344" width="9" style="5"/>
    <col min="3345" max="3345" width="12" style="5" customWidth="1"/>
    <col min="3346" max="3584" width="9" style="5"/>
    <col min="3585" max="3585" width="4.2" style="5" customWidth="1"/>
    <col min="3586" max="3586" width="7.1" style="5" customWidth="1"/>
    <col min="3587" max="3587" width="14.1" style="5" customWidth="1"/>
    <col min="3588" max="3588" width="16.2" style="5" customWidth="1"/>
    <col min="3589" max="3589" width="9" style="5"/>
    <col min="3590" max="3590" width="16.4" style="5" customWidth="1"/>
    <col min="3591" max="3591" width="9" style="5"/>
    <col min="3592" max="3592" width="12.7" style="5" customWidth="1"/>
    <col min="3593" max="3593" width="9" style="5"/>
    <col min="3594" max="3594" width="11.5" style="5" customWidth="1"/>
    <col min="3595" max="3595" width="12.5" style="5" customWidth="1"/>
    <col min="3596" max="3600" width="9" style="5"/>
    <col min="3601" max="3601" width="12" style="5" customWidth="1"/>
    <col min="3602" max="3840" width="9" style="5"/>
    <col min="3841" max="3841" width="4.2" style="5" customWidth="1"/>
    <col min="3842" max="3842" width="7.1" style="5" customWidth="1"/>
    <col min="3843" max="3843" width="14.1" style="5" customWidth="1"/>
    <col min="3844" max="3844" width="16.2" style="5" customWidth="1"/>
    <col min="3845" max="3845" width="9" style="5"/>
    <col min="3846" max="3846" width="16.4" style="5" customWidth="1"/>
    <col min="3847" max="3847" width="9" style="5"/>
    <col min="3848" max="3848" width="12.7" style="5" customWidth="1"/>
    <col min="3849" max="3849" width="9" style="5"/>
    <col min="3850" max="3850" width="11.5" style="5" customWidth="1"/>
    <col min="3851" max="3851" width="12.5" style="5" customWidth="1"/>
    <col min="3852" max="3856" width="9" style="5"/>
    <col min="3857" max="3857" width="12" style="5" customWidth="1"/>
    <col min="3858" max="4096" width="9" style="5"/>
    <col min="4097" max="4097" width="4.2" style="5" customWidth="1"/>
    <col min="4098" max="4098" width="7.1" style="5" customWidth="1"/>
    <col min="4099" max="4099" width="14.1" style="5" customWidth="1"/>
    <col min="4100" max="4100" width="16.2" style="5" customWidth="1"/>
    <col min="4101" max="4101" width="9" style="5"/>
    <col min="4102" max="4102" width="16.4" style="5" customWidth="1"/>
    <col min="4103" max="4103" width="9" style="5"/>
    <col min="4104" max="4104" width="12.7" style="5" customWidth="1"/>
    <col min="4105" max="4105" width="9" style="5"/>
    <col min="4106" max="4106" width="11.5" style="5" customWidth="1"/>
    <col min="4107" max="4107" width="12.5" style="5" customWidth="1"/>
    <col min="4108" max="4112" width="9" style="5"/>
    <col min="4113" max="4113" width="12" style="5" customWidth="1"/>
    <col min="4114" max="4352" width="9" style="5"/>
    <col min="4353" max="4353" width="4.2" style="5" customWidth="1"/>
    <col min="4354" max="4354" width="7.1" style="5" customWidth="1"/>
    <col min="4355" max="4355" width="14.1" style="5" customWidth="1"/>
    <col min="4356" max="4356" width="16.2" style="5" customWidth="1"/>
    <col min="4357" max="4357" width="9" style="5"/>
    <col min="4358" max="4358" width="16.4" style="5" customWidth="1"/>
    <col min="4359" max="4359" width="9" style="5"/>
    <col min="4360" max="4360" width="12.7" style="5" customWidth="1"/>
    <col min="4361" max="4361" width="9" style="5"/>
    <col min="4362" max="4362" width="11.5" style="5" customWidth="1"/>
    <col min="4363" max="4363" width="12.5" style="5" customWidth="1"/>
    <col min="4364" max="4368" width="9" style="5"/>
    <col min="4369" max="4369" width="12" style="5" customWidth="1"/>
    <col min="4370" max="4608" width="9" style="5"/>
    <col min="4609" max="4609" width="4.2" style="5" customWidth="1"/>
    <col min="4610" max="4610" width="7.1" style="5" customWidth="1"/>
    <col min="4611" max="4611" width="14.1" style="5" customWidth="1"/>
    <col min="4612" max="4612" width="16.2" style="5" customWidth="1"/>
    <col min="4613" max="4613" width="9" style="5"/>
    <col min="4614" max="4614" width="16.4" style="5" customWidth="1"/>
    <col min="4615" max="4615" width="9" style="5"/>
    <col min="4616" max="4616" width="12.7" style="5" customWidth="1"/>
    <col min="4617" max="4617" width="9" style="5"/>
    <col min="4618" max="4618" width="11.5" style="5" customWidth="1"/>
    <col min="4619" max="4619" width="12.5" style="5" customWidth="1"/>
    <col min="4620" max="4624" width="9" style="5"/>
    <col min="4625" max="4625" width="12" style="5" customWidth="1"/>
    <col min="4626" max="4864" width="9" style="5"/>
    <col min="4865" max="4865" width="4.2" style="5" customWidth="1"/>
    <col min="4866" max="4866" width="7.1" style="5" customWidth="1"/>
    <col min="4867" max="4867" width="14.1" style="5" customWidth="1"/>
    <col min="4868" max="4868" width="16.2" style="5" customWidth="1"/>
    <col min="4869" max="4869" width="9" style="5"/>
    <col min="4870" max="4870" width="16.4" style="5" customWidth="1"/>
    <col min="4871" max="4871" width="9" style="5"/>
    <col min="4872" max="4872" width="12.7" style="5" customWidth="1"/>
    <col min="4873" max="4873" width="9" style="5"/>
    <col min="4874" max="4874" width="11.5" style="5" customWidth="1"/>
    <col min="4875" max="4875" width="12.5" style="5" customWidth="1"/>
    <col min="4876" max="4880" width="9" style="5"/>
    <col min="4881" max="4881" width="12" style="5" customWidth="1"/>
    <col min="4882" max="5120" width="9" style="5"/>
    <col min="5121" max="5121" width="4.2" style="5" customWidth="1"/>
    <col min="5122" max="5122" width="7.1" style="5" customWidth="1"/>
    <col min="5123" max="5123" width="14.1" style="5" customWidth="1"/>
    <col min="5124" max="5124" width="16.2" style="5" customWidth="1"/>
    <col min="5125" max="5125" width="9" style="5"/>
    <col min="5126" max="5126" width="16.4" style="5" customWidth="1"/>
    <col min="5127" max="5127" width="9" style="5"/>
    <col min="5128" max="5128" width="12.7" style="5" customWidth="1"/>
    <col min="5129" max="5129" width="9" style="5"/>
    <col min="5130" max="5130" width="11.5" style="5" customWidth="1"/>
    <col min="5131" max="5131" width="12.5" style="5" customWidth="1"/>
    <col min="5132" max="5136" width="9" style="5"/>
    <col min="5137" max="5137" width="12" style="5" customWidth="1"/>
    <col min="5138" max="5376" width="9" style="5"/>
    <col min="5377" max="5377" width="4.2" style="5" customWidth="1"/>
    <col min="5378" max="5378" width="7.1" style="5" customWidth="1"/>
    <col min="5379" max="5379" width="14.1" style="5" customWidth="1"/>
    <col min="5380" max="5380" width="16.2" style="5" customWidth="1"/>
    <col min="5381" max="5381" width="9" style="5"/>
    <col min="5382" max="5382" width="16.4" style="5" customWidth="1"/>
    <col min="5383" max="5383" width="9" style="5"/>
    <col min="5384" max="5384" width="12.7" style="5" customWidth="1"/>
    <col min="5385" max="5385" width="9" style="5"/>
    <col min="5386" max="5386" width="11.5" style="5" customWidth="1"/>
    <col min="5387" max="5387" width="12.5" style="5" customWidth="1"/>
    <col min="5388" max="5392" width="9" style="5"/>
    <col min="5393" max="5393" width="12" style="5" customWidth="1"/>
    <col min="5394" max="5632" width="9" style="5"/>
    <col min="5633" max="5633" width="4.2" style="5" customWidth="1"/>
    <col min="5634" max="5634" width="7.1" style="5" customWidth="1"/>
    <col min="5635" max="5635" width="14.1" style="5" customWidth="1"/>
    <col min="5636" max="5636" width="16.2" style="5" customWidth="1"/>
    <col min="5637" max="5637" width="9" style="5"/>
    <col min="5638" max="5638" width="16.4" style="5" customWidth="1"/>
    <col min="5639" max="5639" width="9" style="5"/>
    <col min="5640" max="5640" width="12.7" style="5" customWidth="1"/>
    <col min="5641" max="5641" width="9" style="5"/>
    <col min="5642" max="5642" width="11.5" style="5" customWidth="1"/>
    <col min="5643" max="5643" width="12.5" style="5" customWidth="1"/>
    <col min="5644" max="5648" width="9" style="5"/>
    <col min="5649" max="5649" width="12" style="5" customWidth="1"/>
    <col min="5650" max="5888" width="9" style="5"/>
    <col min="5889" max="5889" width="4.2" style="5" customWidth="1"/>
    <col min="5890" max="5890" width="7.1" style="5" customWidth="1"/>
    <col min="5891" max="5891" width="14.1" style="5" customWidth="1"/>
    <col min="5892" max="5892" width="16.2" style="5" customWidth="1"/>
    <col min="5893" max="5893" width="9" style="5"/>
    <col min="5894" max="5894" width="16.4" style="5" customWidth="1"/>
    <col min="5895" max="5895" width="9" style="5"/>
    <col min="5896" max="5896" width="12.7" style="5" customWidth="1"/>
    <col min="5897" max="5897" width="9" style="5"/>
    <col min="5898" max="5898" width="11.5" style="5" customWidth="1"/>
    <col min="5899" max="5899" width="12.5" style="5" customWidth="1"/>
    <col min="5900" max="5904" width="9" style="5"/>
    <col min="5905" max="5905" width="12" style="5" customWidth="1"/>
    <col min="5906" max="6144" width="9" style="5"/>
    <col min="6145" max="6145" width="4.2" style="5" customWidth="1"/>
    <col min="6146" max="6146" width="7.1" style="5" customWidth="1"/>
    <col min="6147" max="6147" width="14.1" style="5" customWidth="1"/>
    <col min="6148" max="6148" width="16.2" style="5" customWidth="1"/>
    <col min="6149" max="6149" width="9" style="5"/>
    <col min="6150" max="6150" width="16.4" style="5" customWidth="1"/>
    <col min="6151" max="6151" width="9" style="5"/>
    <col min="6152" max="6152" width="12.7" style="5" customWidth="1"/>
    <col min="6153" max="6153" width="9" style="5"/>
    <col min="6154" max="6154" width="11.5" style="5" customWidth="1"/>
    <col min="6155" max="6155" width="12.5" style="5" customWidth="1"/>
    <col min="6156" max="6160" width="9" style="5"/>
    <col min="6161" max="6161" width="12" style="5" customWidth="1"/>
    <col min="6162" max="6400" width="9" style="5"/>
    <col min="6401" max="6401" width="4.2" style="5" customWidth="1"/>
    <col min="6402" max="6402" width="7.1" style="5" customWidth="1"/>
    <col min="6403" max="6403" width="14.1" style="5" customWidth="1"/>
    <col min="6404" max="6404" width="16.2" style="5" customWidth="1"/>
    <col min="6405" max="6405" width="9" style="5"/>
    <col min="6406" max="6406" width="16.4" style="5" customWidth="1"/>
    <col min="6407" max="6407" width="9" style="5"/>
    <col min="6408" max="6408" width="12.7" style="5" customWidth="1"/>
    <col min="6409" max="6409" width="9" style="5"/>
    <col min="6410" max="6410" width="11.5" style="5" customWidth="1"/>
    <col min="6411" max="6411" width="12.5" style="5" customWidth="1"/>
    <col min="6412" max="6416" width="9" style="5"/>
    <col min="6417" max="6417" width="12" style="5" customWidth="1"/>
    <col min="6418" max="6656" width="9" style="5"/>
    <col min="6657" max="6657" width="4.2" style="5" customWidth="1"/>
    <col min="6658" max="6658" width="7.1" style="5" customWidth="1"/>
    <col min="6659" max="6659" width="14.1" style="5" customWidth="1"/>
    <col min="6660" max="6660" width="16.2" style="5" customWidth="1"/>
    <col min="6661" max="6661" width="9" style="5"/>
    <col min="6662" max="6662" width="16.4" style="5" customWidth="1"/>
    <col min="6663" max="6663" width="9" style="5"/>
    <col min="6664" max="6664" width="12.7" style="5" customWidth="1"/>
    <col min="6665" max="6665" width="9" style="5"/>
    <col min="6666" max="6666" width="11.5" style="5" customWidth="1"/>
    <col min="6667" max="6667" width="12.5" style="5" customWidth="1"/>
    <col min="6668" max="6672" width="9" style="5"/>
    <col min="6673" max="6673" width="12" style="5" customWidth="1"/>
    <col min="6674" max="6912" width="9" style="5"/>
    <col min="6913" max="6913" width="4.2" style="5" customWidth="1"/>
    <col min="6914" max="6914" width="7.1" style="5" customWidth="1"/>
    <col min="6915" max="6915" width="14.1" style="5" customWidth="1"/>
    <col min="6916" max="6916" width="16.2" style="5" customWidth="1"/>
    <col min="6917" max="6917" width="9" style="5"/>
    <col min="6918" max="6918" width="16.4" style="5" customWidth="1"/>
    <col min="6919" max="6919" width="9" style="5"/>
    <col min="6920" max="6920" width="12.7" style="5" customWidth="1"/>
    <col min="6921" max="6921" width="9" style="5"/>
    <col min="6922" max="6922" width="11.5" style="5" customWidth="1"/>
    <col min="6923" max="6923" width="12.5" style="5" customWidth="1"/>
    <col min="6924" max="6928" width="9" style="5"/>
    <col min="6929" max="6929" width="12" style="5" customWidth="1"/>
    <col min="6930" max="7168" width="9" style="5"/>
    <col min="7169" max="7169" width="4.2" style="5" customWidth="1"/>
    <col min="7170" max="7170" width="7.1" style="5" customWidth="1"/>
    <col min="7171" max="7171" width="14.1" style="5" customWidth="1"/>
    <col min="7172" max="7172" width="16.2" style="5" customWidth="1"/>
    <col min="7173" max="7173" width="9" style="5"/>
    <col min="7174" max="7174" width="16.4" style="5" customWidth="1"/>
    <col min="7175" max="7175" width="9" style="5"/>
    <col min="7176" max="7176" width="12.7" style="5" customWidth="1"/>
    <col min="7177" max="7177" width="9" style="5"/>
    <col min="7178" max="7178" width="11.5" style="5" customWidth="1"/>
    <col min="7179" max="7179" width="12.5" style="5" customWidth="1"/>
    <col min="7180" max="7184" width="9" style="5"/>
    <col min="7185" max="7185" width="12" style="5" customWidth="1"/>
    <col min="7186" max="7424" width="9" style="5"/>
    <col min="7425" max="7425" width="4.2" style="5" customWidth="1"/>
    <col min="7426" max="7426" width="7.1" style="5" customWidth="1"/>
    <col min="7427" max="7427" width="14.1" style="5" customWidth="1"/>
    <col min="7428" max="7428" width="16.2" style="5" customWidth="1"/>
    <col min="7429" max="7429" width="9" style="5"/>
    <col min="7430" max="7430" width="16.4" style="5" customWidth="1"/>
    <col min="7431" max="7431" width="9" style="5"/>
    <col min="7432" max="7432" width="12.7" style="5" customWidth="1"/>
    <col min="7433" max="7433" width="9" style="5"/>
    <col min="7434" max="7434" width="11.5" style="5" customWidth="1"/>
    <col min="7435" max="7435" width="12.5" style="5" customWidth="1"/>
    <col min="7436" max="7440" width="9" style="5"/>
    <col min="7441" max="7441" width="12" style="5" customWidth="1"/>
    <col min="7442" max="7680" width="9" style="5"/>
    <col min="7681" max="7681" width="4.2" style="5" customWidth="1"/>
    <col min="7682" max="7682" width="7.1" style="5" customWidth="1"/>
    <col min="7683" max="7683" width="14.1" style="5" customWidth="1"/>
    <col min="7684" max="7684" width="16.2" style="5" customWidth="1"/>
    <col min="7685" max="7685" width="9" style="5"/>
    <col min="7686" max="7686" width="16.4" style="5" customWidth="1"/>
    <col min="7687" max="7687" width="9" style="5"/>
    <col min="7688" max="7688" width="12.7" style="5" customWidth="1"/>
    <col min="7689" max="7689" width="9" style="5"/>
    <col min="7690" max="7690" width="11.5" style="5" customWidth="1"/>
    <col min="7691" max="7691" width="12.5" style="5" customWidth="1"/>
    <col min="7692" max="7696" width="9" style="5"/>
    <col min="7697" max="7697" width="12" style="5" customWidth="1"/>
    <col min="7698" max="7936" width="9" style="5"/>
    <col min="7937" max="7937" width="4.2" style="5" customWidth="1"/>
    <col min="7938" max="7938" width="7.1" style="5" customWidth="1"/>
    <col min="7939" max="7939" width="14.1" style="5" customWidth="1"/>
    <col min="7940" max="7940" width="16.2" style="5" customWidth="1"/>
    <col min="7941" max="7941" width="9" style="5"/>
    <col min="7942" max="7942" width="16.4" style="5" customWidth="1"/>
    <col min="7943" max="7943" width="9" style="5"/>
    <col min="7944" max="7944" width="12.7" style="5" customWidth="1"/>
    <col min="7945" max="7945" width="9" style="5"/>
    <col min="7946" max="7946" width="11.5" style="5" customWidth="1"/>
    <col min="7947" max="7947" width="12.5" style="5" customWidth="1"/>
    <col min="7948" max="7952" width="9" style="5"/>
    <col min="7953" max="7953" width="12" style="5" customWidth="1"/>
    <col min="7954" max="8192" width="9" style="5"/>
    <col min="8193" max="8193" width="4.2" style="5" customWidth="1"/>
    <col min="8194" max="8194" width="7.1" style="5" customWidth="1"/>
    <col min="8195" max="8195" width="14.1" style="5" customWidth="1"/>
    <col min="8196" max="8196" width="16.2" style="5" customWidth="1"/>
    <col min="8197" max="8197" width="9" style="5"/>
    <col min="8198" max="8198" width="16.4" style="5" customWidth="1"/>
    <col min="8199" max="8199" width="9" style="5"/>
    <col min="8200" max="8200" width="12.7" style="5" customWidth="1"/>
    <col min="8201" max="8201" width="9" style="5"/>
    <col min="8202" max="8202" width="11.5" style="5" customWidth="1"/>
    <col min="8203" max="8203" width="12.5" style="5" customWidth="1"/>
    <col min="8204" max="8208" width="9" style="5"/>
    <col min="8209" max="8209" width="12" style="5" customWidth="1"/>
    <col min="8210" max="8448" width="9" style="5"/>
    <col min="8449" max="8449" width="4.2" style="5" customWidth="1"/>
    <col min="8450" max="8450" width="7.1" style="5" customWidth="1"/>
    <col min="8451" max="8451" width="14.1" style="5" customWidth="1"/>
    <col min="8452" max="8452" width="16.2" style="5" customWidth="1"/>
    <col min="8453" max="8453" width="9" style="5"/>
    <col min="8454" max="8454" width="16.4" style="5" customWidth="1"/>
    <col min="8455" max="8455" width="9" style="5"/>
    <col min="8456" max="8456" width="12.7" style="5" customWidth="1"/>
    <col min="8457" max="8457" width="9" style="5"/>
    <col min="8458" max="8458" width="11.5" style="5" customWidth="1"/>
    <col min="8459" max="8459" width="12.5" style="5" customWidth="1"/>
    <col min="8460" max="8464" width="9" style="5"/>
    <col min="8465" max="8465" width="12" style="5" customWidth="1"/>
    <col min="8466" max="8704" width="9" style="5"/>
    <col min="8705" max="8705" width="4.2" style="5" customWidth="1"/>
    <col min="8706" max="8706" width="7.1" style="5" customWidth="1"/>
    <col min="8707" max="8707" width="14.1" style="5" customWidth="1"/>
    <col min="8708" max="8708" width="16.2" style="5" customWidth="1"/>
    <col min="8709" max="8709" width="9" style="5"/>
    <col min="8710" max="8710" width="16.4" style="5" customWidth="1"/>
    <col min="8711" max="8711" width="9" style="5"/>
    <col min="8712" max="8712" width="12.7" style="5" customWidth="1"/>
    <col min="8713" max="8713" width="9" style="5"/>
    <col min="8714" max="8714" width="11.5" style="5" customWidth="1"/>
    <col min="8715" max="8715" width="12.5" style="5" customWidth="1"/>
    <col min="8716" max="8720" width="9" style="5"/>
    <col min="8721" max="8721" width="12" style="5" customWidth="1"/>
    <col min="8722" max="8960" width="9" style="5"/>
    <col min="8961" max="8961" width="4.2" style="5" customWidth="1"/>
    <col min="8962" max="8962" width="7.1" style="5" customWidth="1"/>
    <col min="8963" max="8963" width="14.1" style="5" customWidth="1"/>
    <col min="8964" max="8964" width="16.2" style="5" customWidth="1"/>
    <col min="8965" max="8965" width="9" style="5"/>
    <col min="8966" max="8966" width="16.4" style="5" customWidth="1"/>
    <col min="8967" max="8967" width="9" style="5"/>
    <col min="8968" max="8968" width="12.7" style="5" customWidth="1"/>
    <col min="8969" max="8969" width="9" style="5"/>
    <col min="8970" max="8970" width="11.5" style="5" customWidth="1"/>
    <col min="8971" max="8971" width="12.5" style="5" customWidth="1"/>
    <col min="8972" max="8976" width="9" style="5"/>
    <col min="8977" max="8977" width="12" style="5" customWidth="1"/>
    <col min="8978" max="9216" width="9" style="5"/>
    <col min="9217" max="9217" width="4.2" style="5" customWidth="1"/>
    <col min="9218" max="9218" width="7.1" style="5" customWidth="1"/>
    <col min="9219" max="9219" width="14.1" style="5" customWidth="1"/>
    <col min="9220" max="9220" width="16.2" style="5" customWidth="1"/>
    <col min="9221" max="9221" width="9" style="5"/>
    <col min="9222" max="9222" width="16.4" style="5" customWidth="1"/>
    <col min="9223" max="9223" width="9" style="5"/>
    <col min="9224" max="9224" width="12.7" style="5" customWidth="1"/>
    <col min="9225" max="9225" width="9" style="5"/>
    <col min="9226" max="9226" width="11.5" style="5" customWidth="1"/>
    <col min="9227" max="9227" width="12.5" style="5" customWidth="1"/>
    <col min="9228" max="9232" width="9" style="5"/>
    <col min="9233" max="9233" width="12" style="5" customWidth="1"/>
    <col min="9234" max="9472" width="9" style="5"/>
    <col min="9473" max="9473" width="4.2" style="5" customWidth="1"/>
    <col min="9474" max="9474" width="7.1" style="5" customWidth="1"/>
    <col min="9475" max="9475" width="14.1" style="5" customWidth="1"/>
    <col min="9476" max="9476" width="16.2" style="5" customWidth="1"/>
    <col min="9477" max="9477" width="9" style="5"/>
    <col min="9478" max="9478" width="16.4" style="5" customWidth="1"/>
    <col min="9479" max="9479" width="9" style="5"/>
    <col min="9480" max="9480" width="12.7" style="5" customWidth="1"/>
    <col min="9481" max="9481" width="9" style="5"/>
    <col min="9482" max="9482" width="11.5" style="5" customWidth="1"/>
    <col min="9483" max="9483" width="12.5" style="5" customWidth="1"/>
    <col min="9484" max="9488" width="9" style="5"/>
    <col min="9489" max="9489" width="12" style="5" customWidth="1"/>
    <col min="9490" max="9728" width="9" style="5"/>
    <col min="9729" max="9729" width="4.2" style="5" customWidth="1"/>
    <col min="9730" max="9730" width="7.1" style="5" customWidth="1"/>
    <col min="9731" max="9731" width="14.1" style="5" customWidth="1"/>
    <col min="9732" max="9732" width="16.2" style="5" customWidth="1"/>
    <col min="9733" max="9733" width="9" style="5"/>
    <col min="9734" max="9734" width="16.4" style="5" customWidth="1"/>
    <col min="9735" max="9735" width="9" style="5"/>
    <col min="9736" max="9736" width="12.7" style="5" customWidth="1"/>
    <col min="9737" max="9737" width="9" style="5"/>
    <col min="9738" max="9738" width="11.5" style="5" customWidth="1"/>
    <col min="9739" max="9739" width="12.5" style="5" customWidth="1"/>
    <col min="9740" max="9744" width="9" style="5"/>
    <col min="9745" max="9745" width="12" style="5" customWidth="1"/>
    <col min="9746" max="9984" width="9" style="5"/>
    <col min="9985" max="9985" width="4.2" style="5" customWidth="1"/>
    <col min="9986" max="9986" width="7.1" style="5" customWidth="1"/>
    <col min="9987" max="9987" width="14.1" style="5" customWidth="1"/>
    <col min="9988" max="9988" width="16.2" style="5" customWidth="1"/>
    <col min="9989" max="9989" width="9" style="5"/>
    <col min="9990" max="9990" width="16.4" style="5" customWidth="1"/>
    <col min="9991" max="9991" width="9" style="5"/>
    <col min="9992" max="9992" width="12.7" style="5" customWidth="1"/>
    <col min="9993" max="9993" width="9" style="5"/>
    <col min="9994" max="9994" width="11.5" style="5" customWidth="1"/>
    <col min="9995" max="9995" width="12.5" style="5" customWidth="1"/>
    <col min="9996" max="10000" width="9" style="5"/>
    <col min="10001" max="10001" width="12" style="5" customWidth="1"/>
    <col min="10002" max="10240" width="9" style="5"/>
    <col min="10241" max="10241" width="4.2" style="5" customWidth="1"/>
    <col min="10242" max="10242" width="7.1" style="5" customWidth="1"/>
    <col min="10243" max="10243" width="14.1" style="5" customWidth="1"/>
    <col min="10244" max="10244" width="16.2" style="5" customWidth="1"/>
    <col min="10245" max="10245" width="9" style="5"/>
    <col min="10246" max="10246" width="16.4" style="5" customWidth="1"/>
    <col min="10247" max="10247" width="9" style="5"/>
    <col min="10248" max="10248" width="12.7" style="5" customWidth="1"/>
    <col min="10249" max="10249" width="9" style="5"/>
    <col min="10250" max="10250" width="11.5" style="5" customWidth="1"/>
    <col min="10251" max="10251" width="12.5" style="5" customWidth="1"/>
    <col min="10252" max="10256" width="9" style="5"/>
    <col min="10257" max="10257" width="12" style="5" customWidth="1"/>
    <col min="10258" max="10496" width="9" style="5"/>
    <col min="10497" max="10497" width="4.2" style="5" customWidth="1"/>
    <col min="10498" max="10498" width="7.1" style="5" customWidth="1"/>
    <col min="10499" max="10499" width="14.1" style="5" customWidth="1"/>
    <col min="10500" max="10500" width="16.2" style="5" customWidth="1"/>
    <col min="10501" max="10501" width="9" style="5"/>
    <col min="10502" max="10502" width="16.4" style="5" customWidth="1"/>
    <col min="10503" max="10503" width="9" style="5"/>
    <col min="10504" max="10504" width="12.7" style="5" customWidth="1"/>
    <col min="10505" max="10505" width="9" style="5"/>
    <col min="10506" max="10506" width="11.5" style="5" customWidth="1"/>
    <col min="10507" max="10507" width="12.5" style="5" customWidth="1"/>
    <col min="10508" max="10512" width="9" style="5"/>
    <col min="10513" max="10513" width="12" style="5" customWidth="1"/>
    <col min="10514" max="10752" width="9" style="5"/>
    <col min="10753" max="10753" width="4.2" style="5" customWidth="1"/>
    <col min="10754" max="10754" width="7.1" style="5" customWidth="1"/>
    <col min="10755" max="10755" width="14.1" style="5" customWidth="1"/>
    <col min="10756" max="10756" width="16.2" style="5" customWidth="1"/>
    <col min="10757" max="10757" width="9" style="5"/>
    <col min="10758" max="10758" width="16.4" style="5" customWidth="1"/>
    <col min="10759" max="10759" width="9" style="5"/>
    <col min="10760" max="10760" width="12.7" style="5" customWidth="1"/>
    <col min="10761" max="10761" width="9" style="5"/>
    <col min="10762" max="10762" width="11.5" style="5" customWidth="1"/>
    <col min="10763" max="10763" width="12.5" style="5" customWidth="1"/>
    <col min="10764" max="10768" width="9" style="5"/>
    <col min="10769" max="10769" width="12" style="5" customWidth="1"/>
    <col min="10770" max="11008" width="9" style="5"/>
    <col min="11009" max="11009" width="4.2" style="5" customWidth="1"/>
    <col min="11010" max="11010" width="7.1" style="5" customWidth="1"/>
    <col min="11011" max="11011" width="14.1" style="5" customWidth="1"/>
    <col min="11012" max="11012" width="16.2" style="5" customWidth="1"/>
    <col min="11013" max="11013" width="9" style="5"/>
    <col min="11014" max="11014" width="16.4" style="5" customWidth="1"/>
    <col min="11015" max="11015" width="9" style="5"/>
    <col min="11016" max="11016" width="12.7" style="5" customWidth="1"/>
    <col min="11017" max="11017" width="9" style="5"/>
    <col min="11018" max="11018" width="11.5" style="5" customWidth="1"/>
    <col min="11019" max="11019" width="12.5" style="5" customWidth="1"/>
    <col min="11020" max="11024" width="9" style="5"/>
    <col min="11025" max="11025" width="12" style="5" customWidth="1"/>
    <col min="11026" max="11264" width="9" style="5"/>
    <col min="11265" max="11265" width="4.2" style="5" customWidth="1"/>
    <col min="11266" max="11266" width="7.1" style="5" customWidth="1"/>
    <col min="11267" max="11267" width="14.1" style="5" customWidth="1"/>
    <col min="11268" max="11268" width="16.2" style="5" customWidth="1"/>
    <col min="11269" max="11269" width="9" style="5"/>
    <col min="11270" max="11270" width="16.4" style="5" customWidth="1"/>
    <col min="11271" max="11271" width="9" style="5"/>
    <col min="11272" max="11272" width="12.7" style="5" customWidth="1"/>
    <col min="11273" max="11273" width="9" style="5"/>
    <col min="11274" max="11274" width="11.5" style="5" customWidth="1"/>
    <col min="11275" max="11275" width="12.5" style="5" customWidth="1"/>
    <col min="11276" max="11280" width="9" style="5"/>
    <col min="11281" max="11281" width="12" style="5" customWidth="1"/>
    <col min="11282" max="11520" width="9" style="5"/>
    <col min="11521" max="11521" width="4.2" style="5" customWidth="1"/>
    <col min="11522" max="11522" width="7.1" style="5" customWidth="1"/>
    <col min="11523" max="11523" width="14.1" style="5" customWidth="1"/>
    <col min="11524" max="11524" width="16.2" style="5" customWidth="1"/>
    <col min="11525" max="11525" width="9" style="5"/>
    <col min="11526" max="11526" width="16.4" style="5" customWidth="1"/>
    <col min="11527" max="11527" width="9" style="5"/>
    <col min="11528" max="11528" width="12.7" style="5" customWidth="1"/>
    <col min="11529" max="11529" width="9" style="5"/>
    <col min="11530" max="11530" width="11.5" style="5" customWidth="1"/>
    <col min="11531" max="11531" width="12.5" style="5" customWidth="1"/>
    <col min="11532" max="11536" width="9" style="5"/>
    <col min="11537" max="11537" width="12" style="5" customWidth="1"/>
    <col min="11538" max="11776" width="9" style="5"/>
    <col min="11777" max="11777" width="4.2" style="5" customWidth="1"/>
    <col min="11778" max="11778" width="7.1" style="5" customWidth="1"/>
    <col min="11779" max="11779" width="14.1" style="5" customWidth="1"/>
    <col min="11780" max="11780" width="16.2" style="5" customWidth="1"/>
    <col min="11781" max="11781" width="9" style="5"/>
    <col min="11782" max="11782" width="16.4" style="5" customWidth="1"/>
    <col min="11783" max="11783" width="9" style="5"/>
    <col min="11784" max="11784" width="12.7" style="5" customWidth="1"/>
    <col min="11785" max="11785" width="9" style="5"/>
    <col min="11786" max="11786" width="11.5" style="5" customWidth="1"/>
    <col min="11787" max="11787" width="12.5" style="5" customWidth="1"/>
    <col min="11788" max="11792" width="9" style="5"/>
    <col min="11793" max="11793" width="12" style="5" customWidth="1"/>
    <col min="11794" max="12032" width="9" style="5"/>
    <col min="12033" max="12033" width="4.2" style="5" customWidth="1"/>
    <col min="12034" max="12034" width="7.1" style="5" customWidth="1"/>
    <col min="12035" max="12035" width="14.1" style="5" customWidth="1"/>
    <col min="12036" max="12036" width="16.2" style="5" customWidth="1"/>
    <col min="12037" max="12037" width="9" style="5"/>
    <col min="12038" max="12038" width="16.4" style="5" customWidth="1"/>
    <col min="12039" max="12039" width="9" style="5"/>
    <col min="12040" max="12040" width="12.7" style="5" customWidth="1"/>
    <col min="12041" max="12041" width="9" style="5"/>
    <col min="12042" max="12042" width="11.5" style="5" customWidth="1"/>
    <col min="12043" max="12043" width="12.5" style="5" customWidth="1"/>
    <col min="12044" max="12048" width="9" style="5"/>
    <col min="12049" max="12049" width="12" style="5" customWidth="1"/>
    <col min="12050" max="12288" width="9" style="5"/>
    <col min="12289" max="12289" width="4.2" style="5" customWidth="1"/>
    <col min="12290" max="12290" width="7.1" style="5" customWidth="1"/>
    <col min="12291" max="12291" width="14.1" style="5" customWidth="1"/>
    <col min="12292" max="12292" width="16.2" style="5" customWidth="1"/>
    <col min="12293" max="12293" width="9" style="5"/>
    <col min="12294" max="12294" width="16.4" style="5" customWidth="1"/>
    <col min="12295" max="12295" width="9" style="5"/>
    <col min="12296" max="12296" width="12.7" style="5" customWidth="1"/>
    <col min="12297" max="12297" width="9" style="5"/>
    <col min="12298" max="12298" width="11.5" style="5" customWidth="1"/>
    <col min="12299" max="12299" width="12.5" style="5" customWidth="1"/>
    <col min="12300" max="12304" width="9" style="5"/>
    <col min="12305" max="12305" width="12" style="5" customWidth="1"/>
    <col min="12306" max="12544" width="9" style="5"/>
    <col min="12545" max="12545" width="4.2" style="5" customWidth="1"/>
    <col min="12546" max="12546" width="7.1" style="5" customWidth="1"/>
    <col min="12547" max="12547" width="14.1" style="5" customWidth="1"/>
    <col min="12548" max="12548" width="16.2" style="5" customWidth="1"/>
    <col min="12549" max="12549" width="9" style="5"/>
    <col min="12550" max="12550" width="16.4" style="5" customWidth="1"/>
    <col min="12551" max="12551" width="9" style="5"/>
    <col min="12552" max="12552" width="12.7" style="5" customWidth="1"/>
    <col min="12553" max="12553" width="9" style="5"/>
    <col min="12554" max="12554" width="11.5" style="5" customWidth="1"/>
    <col min="12555" max="12555" width="12.5" style="5" customWidth="1"/>
    <col min="12556" max="12560" width="9" style="5"/>
    <col min="12561" max="12561" width="12" style="5" customWidth="1"/>
    <col min="12562" max="12800" width="9" style="5"/>
    <col min="12801" max="12801" width="4.2" style="5" customWidth="1"/>
    <col min="12802" max="12802" width="7.1" style="5" customWidth="1"/>
    <col min="12803" max="12803" width="14.1" style="5" customWidth="1"/>
    <col min="12804" max="12804" width="16.2" style="5" customWidth="1"/>
    <col min="12805" max="12805" width="9" style="5"/>
    <col min="12806" max="12806" width="16.4" style="5" customWidth="1"/>
    <col min="12807" max="12807" width="9" style="5"/>
    <col min="12808" max="12808" width="12.7" style="5" customWidth="1"/>
    <col min="12809" max="12809" width="9" style="5"/>
    <col min="12810" max="12810" width="11.5" style="5" customWidth="1"/>
    <col min="12811" max="12811" width="12.5" style="5" customWidth="1"/>
    <col min="12812" max="12816" width="9" style="5"/>
    <col min="12817" max="12817" width="12" style="5" customWidth="1"/>
    <col min="12818" max="13056" width="9" style="5"/>
    <col min="13057" max="13057" width="4.2" style="5" customWidth="1"/>
    <col min="13058" max="13058" width="7.1" style="5" customWidth="1"/>
    <col min="13059" max="13059" width="14.1" style="5" customWidth="1"/>
    <col min="13060" max="13060" width="16.2" style="5" customWidth="1"/>
    <col min="13061" max="13061" width="9" style="5"/>
    <col min="13062" max="13062" width="16.4" style="5" customWidth="1"/>
    <col min="13063" max="13063" width="9" style="5"/>
    <col min="13064" max="13064" width="12.7" style="5" customWidth="1"/>
    <col min="13065" max="13065" width="9" style="5"/>
    <col min="13066" max="13066" width="11.5" style="5" customWidth="1"/>
    <col min="13067" max="13067" width="12.5" style="5" customWidth="1"/>
    <col min="13068" max="13072" width="9" style="5"/>
    <col min="13073" max="13073" width="12" style="5" customWidth="1"/>
    <col min="13074" max="13312" width="9" style="5"/>
    <col min="13313" max="13313" width="4.2" style="5" customWidth="1"/>
    <col min="13314" max="13314" width="7.1" style="5" customWidth="1"/>
    <col min="13315" max="13315" width="14.1" style="5" customWidth="1"/>
    <col min="13316" max="13316" width="16.2" style="5" customWidth="1"/>
    <col min="13317" max="13317" width="9" style="5"/>
    <col min="13318" max="13318" width="16.4" style="5" customWidth="1"/>
    <col min="13319" max="13319" width="9" style="5"/>
    <col min="13320" max="13320" width="12.7" style="5" customWidth="1"/>
    <col min="13321" max="13321" width="9" style="5"/>
    <col min="13322" max="13322" width="11.5" style="5" customWidth="1"/>
    <col min="13323" max="13323" width="12.5" style="5" customWidth="1"/>
    <col min="13324" max="13328" width="9" style="5"/>
    <col min="13329" max="13329" width="12" style="5" customWidth="1"/>
    <col min="13330" max="13568" width="9" style="5"/>
    <col min="13569" max="13569" width="4.2" style="5" customWidth="1"/>
    <col min="13570" max="13570" width="7.1" style="5" customWidth="1"/>
    <col min="13571" max="13571" width="14.1" style="5" customWidth="1"/>
    <col min="13572" max="13572" width="16.2" style="5" customWidth="1"/>
    <col min="13573" max="13573" width="9" style="5"/>
    <col min="13574" max="13574" width="16.4" style="5" customWidth="1"/>
    <col min="13575" max="13575" width="9" style="5"/>
    <col min="13576" max="13576" width="12.7" style="5" customWidth="1"/>
    <col min="13577" max="13577" width="9" style="5"/>
    <col min="13578" max="13578" width="11.5" style="5" customWidth="1"/>
    <col min="13579" max="13579" width="12.5" style="5" customWidth="1"/>
    <col min="13580" max="13584" width="9" style="5"/>
    <col min="13585" max="13585" width="12" style="5" customWidth="1"/>
    <col min="13586" max="13824" width="9" style="5"/>
    <col min="13825" max="13825" width="4.2" style="5" customWidth="1"/>
    <col min="13826" max="13826" width="7.1" style="5" customWidth="1"/>
    <col min="13827" max="13827" width="14.1" style="5" customWidth="1"/>
    <col min="13828" max="13828" width="16.2" style="5" customWidth="1"/>
    <col min="13829" max="13829" width="9" style="5"/>
    <col min="13830" max="13830" width="16.4" style="5" customWidth="1"/>
    <col min="13831" max="13831" width="9" style="5"/>
    <col min="13832" max="13832" width="12.7" style="5" customWidth="1"/>
    <col min="13833" max="13833" width="9" style="5"/>
    <col min="13834" max="13834" width="11.5" style="5" customWidth="1"/>
    <col min="13835" max="13835" width="12.5" style="5" customWidth="1"/>
    <col min="13836" max="13840" width="9" style="5"/>
    <col min="13841" max="13841" width="12" style="5" customWidth="1"/>
    <col min="13842" max="14080" width="9" style="5"/>
    <col min="14081" max="14081" width="4.2" style="5" customWidth="1"/>
    <col min="14082" max="14082" width="7.1" style="5" customWidth="1"/>
    <col min="14083" max="14083" width="14.1" style="5" customWidth="1"/>
    <col min="14084" max="14084" width="16.2" style="5" customWidth="1"/>
    <col min="14085" max="14085" width="9" style="5"/>
    <col min="14086" max="14086" width="16.4" style="5" customWidth="1"/>
    <col min="14087" max="14087" width="9" style="5"/>
    <col min="14088" max="14088" width="12.7" style="5" customWidth="1"/>
    <col min="14089" max="14089" width="9" style="5"/>
    <col min="14090" max="14090" width="11.5" style="5" customWidth="1"/>
    <col min="14091" max="14091" width="12.5" style="5" customWidth="1"/>
    <col min="14092" max="14096" width="9" style="5"/>
    <col min="14097" max="14097" width="12" style="5" customWidth="1"/>
    <col min="14098" max="14336" width="9" style="5"/>
    <col min="14337" max="14337" width="4.2" style="5" customWidth="1"/>
    <col min="14338" max="14338" width="7.1" style="5" customWidth="1"/>
    <col min="14339" max="14339" width="14.1" style="5" customWidth="1"/>
    <col min="14340" max="14340" width="16.2" style="5" customWidth="1"/>
    <col min="14341" max="14341" width="9" style="5"/>
    <col min="14342" max="14342" width="16.4" style="5" customWidth="1"/>
    <col min="14343" max="14343" width="9" style="5"/>
    <col min="14344" max="14344" width="12.7" style="5" customWidth="1"/>
    <col min="14345" max="14345" width="9" style="5"/>
    <col min="14346" max="14346" width="11.5" style="5" customWidth="1"/>
    <col min="14347" max="14347" width="12.5" style="5" customWidth="1"/>
    <col min="14348" max="14352" width="9" style="5"/>
    <col min="14353" max="14353" width="12" style="5" customWidth="1"/>
    <col min="14354" max="14592" width="9" style="5"/>
    <col min="14593" max="14593" width="4.2" style="5" customWidth="1"/>
    <col min="14594" max="14594" width="7.1" style="5" customWidth="1"/>
    <col min="14595" max="14595" width="14.1" style="5" customWidth="1"/>
    <col min="14596" max="14596" width="16.2" style="5" customWidth="1"/>
    <col min="14597" max="14597" width="9" style="5"/>
    <col min="14598" max="14598" width="16.4" style="5" customWidth="1"/>
    <col min="14599" max="14599" width="9" style="5"/>
    <col min="14600" max="14600" width="12.7" style="5" customWidth="1"/>
    <col min="14601" max="14601" width="9" style="5"/>
    <col min="14602" max="14602" width="11.5" style="5" customWidth="1"/>
    <col min="14603" max="14603" width="12.5" style="5" customWidth="1"/>
    <col min="14604" max="14608" width="9" style="5"/>
    <col min="14609" max="14609" width="12" style="5" customWidth="1"/>
    <col min="14610" max="14848" width="9" style="5"/>
    <col min="14849" max="14849" width="4.2" style="5" customWidth="1"/>
    <col min="14850" max="14850" width="7.1" style="5" customWidth="1"/>
    <col min="14851" max="14851" width="14.1" style="5" customWidth="1"/>
    <col min="14852" max="14852" width="16.2" style="5" customWidth="1"/>
    <col min="14853" max="14853" width="9" style="5"/>
    <col min="14854" max="14854" width="16.4" style="5" customWidth="1"/>
    <col min="14855" max="14855" width="9" style="5"/>
    <col min="14856" max="14856" width="12.7" style="5" customWidth="1"/>
    <col min="14857" max="14857" width="9" style="5"/>
    <col min="14858" max="14858" width="11.5" style="5" customWidth="1"/>
    <col min="14859" max="14859" width="12.5" style="5" customWidth="1"/>
    <col min="14860" max="14864" width="9" style="5"/>
    <col min="14865" max="14865" width="12" style="5" customWidth="1"/>
    <col min="14866" max="15104" width="9" style="5"/>
    <col min="15105" max="15105" width="4.2" style="5" customWidth="1"/>
    <col min="15106" max="15106" width="7.1" style="5" customWidth="1"/>
    <col min="15107" max="15107" width="14.1" style="5" customWidth="1"/>
    <col min="15108" max="15108" width="16.2" style="5" customWidth="1"/>
    <col min="15109" max="15109" width="9" style="5"/>
    <col min="15110" max="15110" width="16.4" style="5" customWidth="1"/>
    <col min="15111" max="15111" width="9" style="5"/>
    <col min="15112" max="15112" width="12.7" style="5" customWidth="1"/>
    <col min="15113" max="15113" width="9" style="5"/>
    <col min="15114" max="15114" width="11.5" style="5" customWidth="1"/>
    <col min="15115" max="15115" width="12.5" style="5" customWidth="1"/>
    <col min="15116" max="15120" width="9" style="5"/>
    <col min="15121" max="15121" width="12" style="5" customWidth="1"/>
    <col min="15122" max="15360" width="9" style="5"/>
    <col min="15361" max="15361" width="4.2" style="5" customWidth="1"/>
    <col min="15362" max="15362" width="7.1" style="5" customWidth="1"/>
    <col min="15363" max="15363" width="14.1" style="5" customWidth="1"/>
    <col min="15364" max="15364" width="16.2" style="5" customWidth="1"/>
    <col min="15365" max="15365" width="9" style="5"/>
    <col min="15366" max="15366" width="16.4" style="5" customWidth="1"/>
    <col min="15367" max="15367" width="9" style="5"/>
    <col min="15368" max="15368" width="12.7" style="5" customWidth="1"/>
    <col min="15369" max="15369" width="9" style="5"/>
    <col min="15370" max="15370" width="11.5" style="5" customWidth="1"/>
    <col min="15371" max="15371" width="12.5" style="5" customWidth="1"/>
    <col min="15372" max="15376" width="9" style="5"/>
    <col min="15377" max="15377" width="12" style="5" customWidth="1"/>
    <col min="15378" max="15616" width="9" style="5"/>
    <col min="15617" max="15617" width="4.2" style="5" customWidth="1"/>
    <col min="15618" max="15618" width="7.1" style="5" customWidth="1"/>
    <col min="15619" max="15619" width="14.1" style="5" customWidth="1"/>
    <col min="15620" max="15620" width="16.2" style="5" customWidth="1"/>
    <col min="15621" max="15621" width="9" style="5"/>
    <col min="15622" max="15622" width="16.4" style="5" customWidth="1"/>
    <col min="15623" max="15623" width="9" style="5"/>
    <col min="15624" max="15624" width="12.7" style="5" customWidth="1"/>
    <col min="15625" max="15625" width="9" style="5"/>
    <col min="15626" max="15626" width="11.5" style="5" customWidth="1"/>
    <col min="15627" max="15627" width="12.5" style="5" customWidth="1"/>
    <col min="15628" max="15632" width="9" style="5"/>
    <col min="15633" max="15633" width="12" style="5" customWidth="1"/>
    <col min="15634" max="15872" width="9" style="5"/>
    <col min="15873" max="15873" width="4.2" style="5" customWidth="1"/>
    <col min="15874" max="15874" width="7.1" style="5" customWidth="1"/>
    <col min="15875" max="15875" width="14.1" style="5" customWidth="1"/>
    <col min="15876" max="15876" width="16.2" style="5" customWidth="1"/>
    <col min="15877" max="15877" width="9" style="5"/>
    <col min="15878" max="15878" width="16.4" style="5" customWidth="1"/>
    <col min="15879" max="15879" width="9" style="5"/>
    <col min="15880" max="15880" width="12.7" style="5" customWidth="1"/>
    <col min="15881" max="15881" width="9" style="5"/>
    <col min="15882" max="15882" width="11.5" style="5" customWidth="1"/>
    <col min="15883" max="15883" width="12.5" style="5" customWidth="1"/>
    <col min="15884" max="15888" width="9" style="5"/>
    <col min="15889" max="15889" width="12" style="5" customWidth="1"/>
    <col min="15890" max="16128" width="9" style="5"/>
    <col min="16129" max="16129" width="4.2" style="5" customWidth="1"/>
    <col min="16130" max="16130" width="7.1" style="5" customWidth="1"/>
    <col min="16131" max="16131" width="14.1" style="5" customWidth="1"/>
    <col min="16132" max="16132" width="16.2" style="5" customWidth="1"/>
    <col min="16133" max="16133" width="9" style="5"/>
    <col min="16134" max="16134" width="16.4" style="5" customWidth="1"/>
    <col min="16135" max="16135" width="9" style="5"/>
    <col min="16136" max="16136" width="12.7" style="5" customWidth="1"/>
    <col min="16137" max="16137" width="9" style="5"/>
    <col min="16138" max="16138" width="11.5" style="5" customWidth="1"/>
    <col min="16139" max="16139" width="12.5" style="5" customWidth="1"/>
    <col min="16140" max="16144" width="9" style="5"/>
    <col min="16145" max="16145" width="12" style="5" customWidth="1"/>
    <col min="16146" max="16384" width="9" style="5"/>
  </cols>
  <sheetData>
    <row r="1" s="1" customFormat="1" ht="28.5" customHeight="1" spans="2:19">
      <c r="B1" s="6" t="s">
        <v>465</v>
      </c>
      <c r="C1" s="7"/>
      <c r="D1" s="7"/>
      <c r="E1" s="7"/>
      <c r="F1" s="7"/>
      <c r="G1" s="7"/>
      <c r="H1" s="7"/>
      <c r="I1" s="7"/>
      <c r="J1" s="32" t="s">
        <v>466</v>
      </c>
      <c r="K1" s="33" t="s">
        <v>467</v>
      </c>
      <c r="L1" s="7"/>
      <c r="M1" s="34"/>
      <c r="N1" s="7"/>
      <c r="O1" s="7"/>
      <c r="P1" s="7"/>
      <c r="Q1" s="7"/>
      <c r="S1" s="42"/>
    </row>
    <row r="2" s="2" customFormat="1" ht="25.95" customHeight="1" spans="2:17">
      <c r="B2" s="8" t="s">
        <v>468</v>
      </c>
      <c r="G2" s="9"/>
      <c r="I2" s="34"/>
      <c r="J2" s="32"/>
      <c r="L2" s="9"/>
      <c r="M2" s="9"/>
      <c r="Q2" s="43"/>
    </row>
    <row r="3" ht="12" customHeight="1"/>
    <row r="4" s="3" customFormat="1" ht="15" customHeight="1" spans="2:11">
      <c r="B4" s="596" t="s">
        <v>62</v>
      </c>
      <c r="C4" s="597" t="s">
        <v>125</v>
      </c>
      <c r="D4" s="12"/>
      <c r="E4" s="12"/>
      <c r="F4" s="12"/>
      <c r="G4" s="12"/>
      <c r="H4" s="12"/>
      <c r="I4" s="12"/>
      <c r="J4" s="12"/>
      <c r="K4" s="35"/>
    </row>
    <row r="5" s="3" customFormat="1" ht="14.25" customHeight="1" spans="1:11">
      <c r="A5" s="13"/>
      <c r="B5" s="14">
        <v>1</v>
      </c>
      <c r="C5" s="15"/>
      <c r="D5" s="16"/>
      <c r="E5" s="16"/>
      <c r="F5" s="16"/>
      <c r="G5" s="16"/>
      <c r="H5" s="16"/>
      <c r="I5" s="16"/>
      <c r="J5" s="16"/>
      <c r="K5" s="36"/>
    </row>
    <row r="6" s="3" customFormat="1" ht="14.25" customHeight="1" spans="1:11">
      <c r="A6" s="13"/>
      <c r="B6" s="14">
        <v>2</v>
      </c>
      <c r="C6" s="15"/>
      <c r="D6" s="16"/>
      <c r="E6" s="16"/>
      <c r="F6" s="16"/>
      <c r="G6" s="16"/>
      <c r="H6" s="16"/>
      <c r="I6" s="16"/>
      <c r="J6" s="16"/>
      <c r="K6" s="36"/>
    </row>
    <row r="7" s="3" customFormat="1" ht="14.25" customHeight="1" spans="1:11">
      <c r="A7" s="13"/>
      <c r="B7" s="14">
        <v>3</v>
      </c>
      <c r="C7" s="15"/>
      <c r="D7" s="16"/>
      <c r="E7" s="16"/>
      <c r="F7" s="16"/>
      <c r="G7" s="16"/>
      <c r="H7" s="16"/>
      <c r="I7" s="16"/>
      <c r="J7" s="16"/>
      <c r="K7" s="36"/>
    </row>
    <row r="8" s="3" customFormat="1" ht="14.25" customHeight="1" spans="1:11">
      <c r="A8" s="13"/>
      <c r="B8" s="14">
        <v>4</v>
      </c>
      <c r="C8" s="15"/>
      <c r="D8" s="16"/>
      <c r="E8" s="16"/>
      <c r="F8" s="16"/>
      <c r="G8" s="16"/>
      <c r="H8" s="16"/>
      <c r="I8" s="16"/>
      <c r="J8" s="16"/>
      <c r="K8" s="36"/>
    </row>
    <row r="9" s="3" customFormat="1" ht="14.25" customHeight="1" spans="2:11">
      <c r="B9" s="17">
        <v>5</v>
      </c>
      <c r="C9" s="18"/>
      <c r="D9" s="19"/>
      <c r="E9" s="19"/>
      <c r="F9" s="19"/>
      <c r="G9" s="19"/>
      <c r="H9" s="19"/>
      <c r="I9" s="19"/>
      <c r="J9" s="19"/>
      <c r="K9" s="37"/>
    </row>
    <row r="10" s="3" customFormat="1" ht="13.5" customHeight="1" spans="4:8">
      <c r="D10" s="20"/>
      <c r="F10" s="20"/>
      <c r="H10" s="20"/>
    </row>
    <row r="11" s="4" customFormat="1" spans="2:17">
      <c r="B11" s="21" t="s">
        <v>151</v>
      </c>
      <c r="C11" s="22"/>
      <c r="D11" s="22"/>
      <c r="E11" s="22"/>
      <c r="F11" s="22"/>
      <c r="G11" s="22"/>
      <c r="H11" s="23"/>
      <c r="I11" s="23"/>
      <c r="J11" s="23"/>
      <c r="K11" s="23"/>
      <c r="L11" s="23"/>
      <c r="M11" s="23"/>
      <c r="N11" s="23"/>
      <c r="O11" s="23"/>
      <c r="P11" s="23"/>
      <c r="Q11" s="44"/>
    </row>
    <row r="12" s="4" customFormat="1" ht="15" spans="2:17">
      <c r="B12" s="24"/>
      <c r="C12" s="25"/>
      <c r="D12" s="25"/>
      <c r="E12" s="25"/>
      <c r="F12" s="25"/>
      <c r="G12" s="25"/>
      <c r="H12" s="26"/>
      <c r="I12" s="26"/>
      <c r="J12" s="26"/>
      <c r="K12" s="38"/>
      <c r="L12" s="23"/>
      <c r="M12" s="23"/>
      <c r="N12" s="23"/>
      <c r="O12" s="23"/>
      <c r="P12" s="23"/>
      <c r="Q12" s="44"/>
    </row>
    <row r="13" s="4" customFormat="1" ht="15" spans="2:17">
      <c r="B13" s="27"/>
      <c r="C13" s="22"/>
      <c r="D13" s="22"/>
      <c r="E13" s="22"/>
      <c r="F13" s="22"/>
      <c r="G13" s="22"/>
      <c r="H13" s="23"/>
      <c r="I13" s="23"/>
      <c r="J13" s="23"/>
      <c r="K13" s="39"/>
      <c r="L13" s="23"/>
      <c r="M13" s="23"/>
      <c r="N13" s="23"/>
      <c r="O13" s="23"/>
      <c r="P13" s="23"/>
      <c r="Q13" s="44"/>
    </row>
    <row r="14" s="4" customFormat="1" ht="15" spans="2:17">
      <c r="B14" s="27"/>
      <c r="C14" s="22"/>
      <c r="D14" s="22"/>
      <c r="E14" s="22"/>
      <c r="F14" s="22"/>
      <c r="G14" s="22"/>
      <c r="H14" s="23"/>
      <c r="I14" s="23"/>
      <c r="J14" s="23"/>
      <c r="K14" s="39"/>
      <c r="L14" s="23"/>
      <c r="M14" s="23"/>
      <c r="N14" s="23"/>
      <c r="O14" s="23"/>
      <c r="P14" s="23"/>
      <c r="Q14" s="44"/>
    </row>
    <row r="15" s="4" customFormat="1" ht="15" spans="1:17">
      <c r="A15" s="28"/>
      <c r="B15" s="29"/>
      <c r="C15" s="28"/>
      <c r="D15" s="28"/>
      <c r="E15" s="28"/>
      <c r="F15" s="28"/>
      <c r="G15" s="28"/>
      <c r="H15" s="28"/>
      <c r="I15" s="28"/>
      <c r="J15" s="28"/>
      <c r="K15" s="40"/>
      <c r="L15" s="28"/>
      <c r="M15" s="28"/>
      <c r="N15" s="28"/>
      <c r="O15" s="28"/>
      <c r="P15" s="28"/>
      <c r="Q15" s="28"/>
    </row>
    <row r="16" s="4" customFormat="1" ht="15" spans="1:17">
      <c r="A16" s="28"/>
      <c r="B16" s="29"/>
      <c r="C16" s="28"/>
      <c r="D16" s="28"/>
      <c r="E16" s="28"/>
      <c r="F16" s="28"/>
      <c r="G16" s="28"/>
      <c r="H16" s="28"/>
      <c r="I16" s="28"/>
      <c r="J16" s="28"/>
      <c r="K16" s="40"/>
      <c r="L16" s="28"/>
      <c r="M16" s="28"/>
      <c r="N16" s="28"/>
      <c r="O16" s="28"/>
      <c r="P16" s="28"/>
      <c r="Q16" s="28"/>
    </row>
    <row r="17" s="4" customFormat="1" spans="1:11">
      <c r="A17" s="21"/>
      <c r="B17" s="30"/>
      <c r="C17" s="31"/>
      <c r="D17" s="31"/>
      <c r="E17" s="31"/>
      <c r="F17" s="31"/>
      <c r="G17" s="31"/>
      <c r="H17" s="31"/>
      <c r="I17" s="31"/>
      <c r="J17" s="31"/>
      <c r="K17" s="41"/>
    </row>
  </sheetData>
  <sheetProtection formatCells="0" insertHyperlinks="0" autoFilter="0"/>
  <printOptions horizontalCentered="1"/>
  <pageMargins left="0.196850393700787" right="0.196850393700787" top="0.984251968503937" bottom="0.984251968503937" header="0.511811023622047" footer="0.511811023622047"/>
  <pageSetup paperSize="9" scale="79" firstPageNumber="4294963191" fitToHeight="0" orientation="landscape" blackAndWhite="1" useFirstPageNumber="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���l�:
ck��k�O��Ǐ30%��ZP�l�RR�g
</file>

<file path=customXml/item3.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目录</vt:lpstr>
      <vt:lpstr>4110</vt:lpstr>
      <vt:lpstr>4110-1</vt:lpstr>
      <vt:lpstr>4110-2</vt:lpstr>
      <vt:lpstr>4110-3</vt:lpstr>
      <vt:lpstr>4110-4</vt:lpstr>
      <vt:lpstr>4110-5</vt:lpstr>
      <vt:lpstr>4110-6</vt:lpstr>
      <vt:lpstr>4110-7</vt:lpstr>
      <vt:lpstr>TB</vt:lpstr>
      <vt:lpstr>ZZX-Template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TsaiHaha</cp:lastModifiedBy>
  <dcterms:created xsi:type="dcterms:W3CDTF">1996-12-17T09:32:00Z</dcterms:created>
  <cp:lastPrinted>2023-10-08T06:21:00Z</cp:lastPrinted>
  <dcterms:modified xsi:type="dcterms:W3CDTF">2025-01-22T09:10:46Z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FB5F2C6816C1488A8528B0876352F0AA_12</vt:lpwstr>
  </property>
</Properties>
</file>