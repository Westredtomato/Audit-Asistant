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8350" windowHeight="8080" tabRatio="924" activeTab="10"/>
  </bookViews>
  <sheets>
    <sheet name="目录" sheetId="55" r:id="rId1"/>
    <sheet name="1010" sheetId="73" r:id="rId2"/>
    <sheet name="1010-1" sheetId="88" r:id="rId3"/>
    <sheet name="1010-2" sheetId="10" r:id="rId4"/>
    <sheet name="1010-3-1" sheetId="45" state="hidden" r:id="rId5"/>
    <sheet name="1010-3-2" sheetId="90" r:id="rId6"/>
    <sheet name="1010-3-3" sheetId="91" r:id="rId7"/>
    <sheet name="1010-4" sheetId="14" state="hidden" r:id="rId8"/>
    <sheet name="1010-5" sheetId="79" r:id="rId9"/>
    <sheet name="1010-6" sheetId="93" state="hidden" r:id="rId10"/>
    <sheet name="1010-7" sheetId="78" r:id="rId11"/>
    <sheet name="1010-8" sheetId="94" r:id="rId12"/>
    <sheet name="1010-9" sheetId="80" state="hidden" r:id="rId13"/>
    <sheet name="1010-10" sheetId="82" state="hidden" r:id="rId14"/>
    <sheet name="1010-11" sheetId="76" state="hidden" r:id="rId15"/>
    <sheet name="1010-12" sheetId="83" r:id="rId16"/>
    <sheet name="1010-13" sheetId="95" r:id="rId17"/>
    <sheet name="1010-14" sheetId="105" state="hidden" r:id="rId18"/>
    <sheet name="1011" sheetId="104" r:id="rId19"/>
    <sheet name="TB" sheetId="106" r:id="rId20"/>
    <sheet name="ZZX-Template" sheetId="107" state="hidden" r:id="rId21"/>
  </sheets>
  <externalReferences>
    <externalReference r:id="rId22"/>
    <externalReference r:id="rId23"/>
    <externalReference r:id="rId24"/>
    <externalReference r:id="rId25"/>
  </externalReferences>
  <definedNames>
    <definedName name="_xlnm._FilterDatabase" localSheetId="9" hidden="1">'1010-6'!$A$4:$P$15</definedName>
    <definedName name="_xlnm._FilterDatabase" localSheetId="10" hidden="1">'1010-7'!$A$12:$H$15</definedName>
    <definedName name="_xlnm._FilterDatabase" localSheetId="11" hidden="1">'1010-8'!$A$4:$M$21</definedName>
    <definedName name="_xlnm._FilterDatabase" localSheetId="1" hidden="1">'1010'!$A$12:$Q$106</definedName>
    <definedName name="_xlnm._FilterDatabase" localSheetId="13" hidden="1">'1010-10'!$B$4:$J$13</definedName>
    <definedName name="_xlnm._FilterDatabase" localSheetId="14" hidden="1">'1010-11'!$A$4:$J$21</definedName>
    <definedName name="_xlnm._FilterDatabase" localSheetId="16" hidden="1">'1010-13'!$B$5:$O$9</definedName>
    <definedName name="_xlnm._FilterDatabase" localSheetId="4" hidden="1">'1010-3-1'!$A$5:$M$13</definedName>
    <definedName name="_xlnm._FilterDatabase" localSheetId="5" hidden="1">'1010-3-2'!$A$5:$S$26</definedName>
    <definedName name="_xlnm._FilterDatabase" localSheetId="6" hidden="1">'1010-3-3'!$A$5:$S$21</definedName>
    <definedName name="_xlnm._FilterDatabase" localSheetId="8" hidden="1">'1010-5'!$A$5:$N$5</definedName>
    <definedName name="_xlnm._FilterDatabase" localSheetId="12" hidden="1">'1010-9'!$B$4:$U$22</definedName>
    <definedName name="AS2DocOpenMode" hidden="1">"AS2DocumentEdit"</definedName>
    <definedName name="Database" localSheetId="16" hidden="1">#REF!</definedName>
    <definedName name="Database" localSheetId="19" hidden="1">#REF!</definedName>
    <definedName name="Database" localSheetId="20" hidden="1">#REF!</definedName>
    <definedName name="Database" hidden="1">#REF!</definedName>
    <definedName name="_xlnm.Print_Area" localSheetId="1">'1010'!$B$1:$K$102</definedName>
    <definedName name="_xlnm.Print_Area" localSheetId="2">'1010-1'!$B$1:$J$50</definedName>
    <definedName name="_xlnm.Print_Area" localSheetId="13">'1010-10'!$B$1:$I$18</definedName>
    <definedName name="_xlnm.Print_Area" localSheetId="14">'1010-11'!$B$1:$J$27</definedName>
    <definedName name="_xlnm.Print_Area" localSheetId="15">'1010-12'!$B$1:$O$60</definedName>
    <definedName name="_xlnm.Print_Area" localSheetId="16">'1010-13'!$B$1:$N$22</definedName>
    <definedName name="_xlnm.Print_Area" localSheetId="3">'1010-2'!$B$1:$H$23</definedName>
    <definedName name="_xlnm.Print_Area" localSheetId="4">'1010-3-1'!$B$1:$M$21</definedName>
    <definedName name="_xlnm.Print_Area" localSheetId="5">'1010-3-2'!$B$1:$S$31</definedName>
    <definedName name="_xlnm.Print_Area" localSheetId="6">'1010-3-3'!$B$1:$S$26</definedName>
    <definedName name="_xlnm.Print_Area" localSheetId="7">'1010-4'!$B$1:$N$29</definedName>
    <definedName name="_xlnm.Print_Area" localSheetId="8">'1010-5'!$B$1:$N$33</definedName>
    <definedName name="_xlnm.Print_Area" localSheetId="9">'1010-6'!$B$1:$O$20</definedName>
    <definedName name="_xlnm.Print_Area" localSheetId="10">'1010-7'!$B$1:$H$40</definedName>
    <definedName name="_xlnm.Print_Area" localSheetId="11">'1010-8'!$B:$M</definedName>
    <definedName name="_xlnm.Print_Area" localSheetId="12">'1010-9'!$B$1:$U$28</definedName>
    <definedName name="_xlnm.Print_Area" localSheetId="20">'ZZX-Template'!$A$1:$Q$16</definedName>
    <definedName name="_xlnm.Print_Area" localSheetId="0">目录!$B$2:$L$18</definedName>
    <definedName name="_xlnm.Print_Area" hidden="1">#N/A</definedName>
    <definedName name="_xlnm.Print_Titles" localSheetId="1">'1010'!$11:$12</definedName>
    <definedName name="_xlnm.Print_Titles" localSheetId="13">'1010-10'!$4:$4</definedName>
    <definedName name="_xlnm.Print_Titles" localSheetId="14">'1010-11'!$4:$4</definedName>
    <definedName name="_xlnm.Print_Titles" localSheetId="15">'1010-12'!$5:$5</definedName>
    <definedName name="_xlnm.Print_Titles" localSheetId="16">'1010-13'!$4:$5</definedName>
    <definedName name="_xlnm.Print_Titles" localSheetId="3">'1010-2'!$4:$4</definedName>
    <definedName name="_xlnm.Print_Titles" localSheetId="4">'1010-3-1'!$4:$5</definedName>
    <definedName name="_xlnm.Print_Titles" localSheetId="5">'1010-3-2'!$4:$5</definedName>
    <definedName name="_xlnm.Print_Titles" localSheetId="6">'1010-3-3'!$4:$5</definedName>
    <definedName name="_xlnm.Print_Titles" localSheetId="7">'1010-4'!$8:$8</definedName>
    <definedName name="_xlnm.Print_Titles" localSheetId="8">'1010-5'!$4:$5</definedName>
    <definedName name="_xlnm.Print_Titles" localSheetId="9">'1010-6'!$4:$4</definedName>
    <definedName name="_xlnm.Print_Titles" localSheetId="10">'1010-7'!$11:$12</definedName>
    <definedName name="_xlnm.Print_Titles" localSheetId="11">'1010-8'!$4:$4</definedName>
    <definedName name="_xlnm.Print_Titles" localSheetId="12">'1010-9'!$4:$4</definedName>
    <definedName name="_xlnm.Print_Titles" localSheetId="19" hidden="1">#REF!</definedName>
    <definedName name="_xlnm.Print_Titles" localSheetId="20" hidden="1">#REF!</definedName>
    <definedName name="_xlnm.Print_Titles" hidden="1">#REF!</definedName>
    <definedName name="SAPBEXrevision" hidden="1">1</definedName>
    <definedName name="SAPBEXsysID" hidden="1">"PE4"</definedName>
    <definedName name="SAPBEXwbID" hidden="1">"3Q4R7W3VD66V3CXTGQHGIRCBE"</definedName>
    <definedName name="二级科目">TB!$B$3:$B$20</definedName>
    <definedName name="科目表" localSheetId="20">[1]TB!$A$3:[1]TB!$A$170</definedName>
    <definedName name="科目表">TB!$A$3:$A$170</definedName>
    <definedName name="科目设置">TB!$A$3:$A$170</definedName>
    <definedName name="区域.2549716" localSheetId="16" hidden="1">#REF!</definedName>
    <definedName name="区域.2549716" localSheetId="19" hidden="1">#REF!</definedName>
    <definedName name="区域.2549716" localSheetId="20" hidden="1">#REF!</definedName>
    <definedName name="区域.2549716" hidden="1">#REF!</definedName>
    <definedName name="区域.2549716_区域" localSheetId="16" hidden="1">#REF!</definedName>
    <definedName name="区域.2549716_区域" localSheetId="19" hidden="1">#REF!</definedName>
    <definedName name="区域.2549716_区域" localSheetId="20" hidden="1">#REF!</definedName>
    <definedName name="区域.2549716_区域" hidden="1">#REF!</definedName>
    <definedName name="区域.2864987" localSheetId="16" hidden="1">[2]其他应收款明细表!#REF!</definedName>
    <definedName name="区域.2864987" localSheetId="19" hidden="1">[3]其他应收款明细表!#REF!</definedName>
    <definedName name="区域.2864987" localSheetId="20" hidden="1">[3]其他应收款明细表!#REF!</definedName>
    <definedName name="区域.2864987" hidden="1">[3]其他应收款明细表!#REF!</definedName>
    <definedName name="区域.366756" localSheetId="16" hidden="1">#REF!</definedName>
    <definedName name="区域.366756" localSheetId="19" hidden="1">#REF!</definedName>
    <definedName name="区域.366756" localSheetId="20" hidden="1">#REF!</definedName>
    <definedName name="区域.366756" hidden="1">#REF!</definedName>
    <definedName name="区域.366756_区域" localSheetId="16" hidden="1">#REF!</definedName>
    <definedName name="区域.366756_区域" localSheetId="19" hidden="1">#REF!</definedName>
    <definedName name="区域.366756_区域" localSheetId="20" hidden="1">#REF!</definedName>
    <definedName name="区域.366756_区域" hidden="1">#REF!</definedName>
    <definedName name="区域.524161" localSheetId="19" hidden="1">#REF!</definedName>
    <definedName name="区域.524161" localSheetId="20" hidden="1">#REF!</definedName>
    <definedName name="区域.524161" hidden="1">#REF!</definedName>
    <definedName name="区域.524161_区域" localSheetId="19" hidden="1">#REF!</definedName>
    <definedName name="区域.524161_区域" localSheetId="20" hidden="1">#REF!</definedName>
    <definedName name="区域.524161_区域" hidden="1">#REF!</definedName>
    <definedName name="区域.5248684" localSheetId="19" hidden="1">#REF!</definedName>
    <definedName name="区域.5248684" localSheetId="20" hidden="1">#REF!</definedName>
    <definedName name="区域.5248684" hidden="1">#REF!</definedName>
    <definedName name="区域.5248684_区域" localSheetId="19" hidden="1">#REF!</definedName>
    <definedName name="区域.5248684_区域" localSheetId="20" hidden="1">#REF!</definedName>
    <definedName name="区域.5248684_区域" hidden="1">#REF!</definedName>
    <definedName name="区域.6561115" localSheetId="16" hidden="1">#REF!</definedName>
    <definedName name="区域.6561115" localSheetId="19" hidden="1">#REF!</definedName>
    <definedName name="区域.6561115" localSheetId="20" hidden="1">#REF!</definedName>
    <definedName name="区域.6561115" hidden="1">#REF!</definedName>
    <definedName name="区域.6561115_区域" localSheetId="16" hidden="1">#REF!</definedName>
    <definedName name="区域.6561115_区域" localSheetId="19" hidden="1">#REF!</definedName>
    <definedName name="区域.6561115_区域" localSheetId="20" hidden="1">#REF!</definedName>
    <definedName name="区域.6561115_区域" hidden="1">#REF!</definedName>
    <definedName name="区域.7233112" localSheetId="19" hidden="1">#REF!</definedName>
    <definedName name="区域.7233112" localSheetId="20" hidden="1">#REF!</definedName>
    <definedName name="区域.7233112" hidden="1">#REF!</definedName>
    <definedName name="区域.7233112_区域" localSheetId="19" hidden="1">#REF!</definedName>
    <definedName name="区域.7233112_区域" localSheetId="20" hidden="1">#REF!</definedName>
    <definedName name="区域.7233112_区域" hidden="1">#REF!</definedName>
    <definedName name="区域.767787" localSheetId="19" hidden="1">#REF!</definedName>
    <definedName name="区域.767787" localSheetId="20" hidden="1">#REF!</definedName>
    <definedName name="区域.767787" hidden="1">#REF!</definedName>
    <definedName name="区域.767787_区域" localSheetId="19" hidden="1">#REF!</definedName>
    <definedName name="区域.767787_区域" localSheetId="20" hidden="1">#REF!</definedName>
    <definedName name="区域.767787_区域" hidden="1">#REF!</definedName>
    <definedName name="区域.8381829" localSheetId="19" hidden="1">#REF!</definedName>
    <definedName name="区域.8381829" localSheetId="20" hidden="1">#REF!</definedName>
    <definedName name="区域.8381829" hidden="1">#REF!</definedName>
    <definedName name="区域.8381829_区域" localSheetId="19" hidden="1">#REF!</definedName>
    <definedName name="区域.8381829_区域" localSheetId="20" hidden="1">#REF!</definedName>
    <definedName name="区域.8381829_区域" hidden="1">#REF!</definedName>
    <definedName name="区域.854153" localSheetId="19" hidden="1">#REF!</definedName>
    <definedName name="区域.854153" localSheetId="20" hidden="1">#REF!</definedName>
    <definedName name="区域.854153" hidden="1">#REF!</definedName>
    <definedName name="区域.854153_区域" localSheetId="19" hidden="1">#REF!</definedName>
    <definedName name="区域.854153_区域" localSheetId="20" hidden="1">#REF!</definedName>
    <definedName name="区域.854153_区域" hidden="1">#REF!</definedName>
    <definedName name="区域.9208905" localSheetId="19" hidden="1">[4]应付账款审定表!#REF!</definedName>
    <definedName name="区域.9208905" localSheetId="20" hidden="1">[4]应付账款审定表!#REF!</definedName>
    <definedName name="区域.9208905" hidden="1">[4]应付账款审定表!#REF!</definedName>
    <definedName name="区域.9208905_区域" localSheetId="19" hidden="1">[4]应付账款审定表!#REF!</definedName>
    <definedName name="区域.9208905_区域" localSheetId="20" hidden="1">[4]应付账款审定表!#REF!</definedName>
    <definedName name="区域.9208905_区域" hidden="1">[4]应付账款审定表!#REF!</definedName>
    <definedName name="区域.9547909" hidden="1">[4]应付账款审定表!#REF!</definedName>
    <definedName name="区域.9547909_区域" hidden="1">[4]应付账款审定表!#REF!</definedName>
    <definedName name="区域.9859076" localSheetId="19" hidden="1">#REF!</definedName>
    <definedName name="区域.9859076" localSheetId="20" hidden="1">#REF!</definedName>
    <definedName name="区域.9859076" hidden="1">#REF!</definedName>
    <definedName name="区域.9859076_区域" localSheetId="19" hidden="1">#REF!</definedName>
    <definedName name="区域.9859076_区域" localSheetId="20" hidden="1">#REF!</definedName>
    <definedName name="区域.9859076_区域" hidden="1">#REF!</definedName>
    <definedName name="三级科目">TB!$C$3:$C$3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陈奕蔚</author>
  </authors>
  <commentList>
    <comment ref="D19" authorId="0">
      <text>
        <r>
          <rPr>
            <sz val="9"/>
            <rFont val="宋体"/>
            <charset val="134"/>
          </rPr>
          <t>根据《中国注册会计师审计准则问题解答第12号--货币资金审计》（2019年修订）第七条要求。</t>
        </r>
      </text>
    </comment>
    <comment ref="D33" authorId="0">
      <text>
        <r>
          <rPr>
            <sz val="9"/>
            <rFont val="宋体"/>
            <charset val="134"/>
          </rPr>
          <t>根据《中国注册会计师审计准则问题解答第12号-货币资金审计》（2019年修订）第二条要求。</t>
        </r>
      </text>
    </comment>
    <comment ref="D41" authorId="0">
      <text>
        <r>
          <rPr>
            <sz val="9"/>
            <rFont val="宋体"/>
            <charset val="134"/>
          </rPr>
          <t>根据《会计监管风险提示第9号—上市公司控股股东资金占用及其审计》第三、（三）1.（2）货币资金函证程序监管关注事项：
第一，注册会计师应严格按照执业准则的要求和既定的风险评估及风险应对措施，对货币资金实施函证程序，如无合理理由，应当将发生额较大但余额较小的、零余额的、在本期内注销的银行账户纳入函证范围。同时，应结合函证程序，重点关注本期交易活跃但期末已注销的银行账户的交易情况。
第二，注册会计师在实施函证程序时，应当关注上市公司提供银行账户的完整性，如对完整性存有疑虑，应当亲自到中国人民银行或基本存款账户的开户行查询并打印《已开立银行结算账户清单》。
第三，注册会计师应关注函证信息的完整性。除按照规定的格式进行函证外，必要时还应函证上市公司与银行间可能存在的其他安排，如集团资金管理协议、控股股东资金池安排等，并根据需要对银行进行走访。
第四，注册会计师应对银行账户函证实施有效控制。寄发询证函前应核对相关信息，取得回函后应关注快递单据、回函格式、印章、经办人及联系方式等信息。对可靠性存疑的回函，应审慎评价函证结果及回函的真实性，并采取进一步措施获取充分适当的审计证据。
第五，注册会计师在函证时应当保持职业怀疑，对管理层不允许寄发询证函、不配合函证或有选择性地删减函证信息等情况，应当询问原因并进行分析判断，实施恰当的应对措施，并评价对评估的重大错报风险、舞弊风险及其应对措施的影响。
第六，注册会计师应充分关注回函信息的完整性和准确性，对未回函的账户或未确认的信息实施替代程序；对以资信证明书、银行对账单等格式文书回函的，应对未予确认的项目实施替代程序；实施替代程序时，应确保获得相关、可靠的审计证据；对回函存在的不符事项进行调查，确定是否表明存在错报。</t>
        </r>
      </text>
    </comment>
    <comment ref="D46" authorId="0">
      <text>
        <r>
          <rPr>
            <sz val="9"/>
            <rFont val="宋体"/>
            <charset val="134"/>
          </rPr>
          <t>根据《会计监管风险提示第9号—上市公司控股股东资金占用及其审计》三、（三）.2.(2)货币资金检查程序监管关注事项要求。
第二，注册会计师在检查货币资金相关凭证时，应做好内外部凭证核对，如发现可疑迹象，应当对银行回单等凭证的真实性进行验证，包括利用银行官方网站中的电子回单验证渠道，在上市公司协助下使用回单卡、单位结算卡等赴银行直接查询验证。</t>
        </r>
      </text>
    </comment>
    <comment ref="D47" authorId="0">
      <text>
        <r>
          <rPr>
            <sz val="9"/>
            <rFont val="宋体"/>
            <charset val="134"/>
          </rPr>
          <t>根据《会计监管风险提示第9号—上市公司控股股东资金占用及其审计》三、（三）.2.(2)货币资金检查程序监管关注事项要求。
第三，注册会计师应对货币资金实施截止测试，核对银行对账单和公司的账务处理，检查银行存款余额调节表，关注资产负债表日前后是否存在大额、异常资金变动，是否存在大额、长期的未达账项以及大量的货币资金期后红字冲销事项等。</t>
        </r>
      </text>
    </comment>
    <comment ref="D48" authorId="0">
      <text>
        <r>
          <rPr>
            <sz val="9"/>
            <rFont val="宋体"/>
            <charset val="134"/>
          </rPr>
          <t>根据《会计监管风险提示第9号—上市公司控股股东资金占用及其审计》三、（三）.2.(2)货币资金检查程序监管关注事项要求。
第一，注册会计师应当对银行对账单、网上银行流水进行检查，关注其中的大额异常交易，例如相同金额的一收一付、相同金额的分次转入转出等，并对应检查银行存款日记账和相应凭证；做好发生额测试和对比分析，并重点检查上市公司与控股股东之间的资金往来。对从公司获取的银行对账单，应着重关注格式、印章等是否存在异常、篡改等迹象，必要时应当现场观察财务人员操作网上银行及其打印对账单的过程，并核对网上银行显示信息与公司所提供信息的一致性；或在公司协助下亲自赴银行获取对账单，并进行多维度分析核验。在上述执业过程中，注册会计师应结合询问、查验文件、函证等程序，关注可能显示存在的集团资金管理协议、控股股东资金池安排等迹象，判断控股股东是否以此方式进行资金占用。</t>
        </r>
      </text>
    </comment>
    <comment ref="D50" authorId="0">
      <text>
        <r>
          <rPr>
            <sz val="9"/>
            <rFont val="宋体"/>
            <charset val="134"/>
          </rPr>
          <t>根据《中国注册会计师审计准则问题解答第12号--货币资金审计》（2019年修订）第三条要求。</t>
        </r>
      </text>
    </comment>
    <comment ref="D52" authorId="0">
      <text>
        <r>
          <rPr>
            <sz val="9"/>
            <rFont val="宋体"/>
            <charset val="134"/>
          </rPr>
          <t>根据《会计监管风险提示第9号—上市公司控股股东资金占用及其审计》三、（三）.2.(2)货币资金检查程序监管关注事项。
注册会计师应当对定期存款进行检查。分析评估定期存款的商业理由及合理性，并对定期存款凭据进行监盘；对未质押的定期存款，应检查开户证实书原件，核对存款人、金额、期限等信息；对已质押的定期存款，应检查定期存单复印件，并与对应的质押合同核对；对质押事项逾期的，应重点关注相关质权是否已被行使。</t>
        </r>
      </text>
    </comment>
    <comment ref="D65" authorId="0">
      <text>
        <r>
          <rPr>
            <sz val="9"/>
            <rFont val="宋体"/>
            <charset val="134"/>
          </rPr>
          <t>根据《中国注册会计师审计准则问题解答第12号--货币资金审计》(2019年修订)第四条要求。</t>
        </r>
      </text>
    </comment>
    <comment ref="D72" authorId="0">
      <text>
        <r>
          <rPr>
            <sz val="9"/>
            <rFont val="宋体"/>
            <charset val="134"/>
          </rPr>
          <t>根据《中国注册会计师审计准则问题解答第12号--货币资金审计》（2019年修订）第八条要求。</t>
        </r>
      </text>
    </comment>
    <comment ref="D92" authorId="0">
      <text>
        <r>
          <rPr>
            <sz val="9"/>
            <rFont val="宋体"/>
            <charset val="134"/>
          </rPr>
          <t>根据《会计监管风险提示第9号—上市公司控股股东资金占用及其审计》三、（三）.2.(2)货币资金检查程序监管关注事项。
注册会计师应当对其他货币资金进行检查。结合函证情况，检查开立银行承兑汇票、信用证等的协议和审批文件，对比票据开立、保证事项的发生与相应保证金情况，判断其合理性和准确性。</t>
        </r>
      </text>
    </comment>
    <comment ref="D93" authorId="1">
      <text>
        <r>
          <rPr>
            <sz val="9"/>
            <rFont val="宋体"/>
            <charset val="134"/>
          </rPr>
          <t>根据《中国注册会计师审计准则问题解答第</t>
        </r>
        <r>
          <rPr>
            <sz val="9"/>
            <rFont val="Tahoma"/>
            <charset val="134"/>
          </rPr>
          <t>12</t>
        </r>
        <r>
          <rPr>
            <sz val="9"/>
            <rFont val="宋体"/>
            <charset val="134"/>
          </rPr>
          <t>号</t>
        </r>
        <r>
          <rPr>
            <sz val="9"/>
            <rFont val="Tahoma"/>
            <charset val="134"/>
          </rPr>
          <t>--</t>
        </r>
        <r>
          <rPr>
            <sz val="9"/>
            <rFont val="宋体"/>
            <charset val="134"/>
          </rPr>
          <t>货币资金审计》（</t>
        </r>
        <r>
          <rPr>
            <sz val="9"/>
            <rFont val="Tahoma"/>
            <charset val="134"/>
          </rPr>
          <t>2019</t>
        </r>
        <r>
          <rPr>
            <sz val="9"/>
            <rFont val="宋体"/>
            <charset val="134"/>
          </rPr>
          <t>年修订）第六条要求。</t>
        </r>
      </text>
    </comment>
  </commentList>
</comments>
</file>

<file path=xl/comments2.xml><?xml version="1.0" encoding="utf-8"?>
<comments xmlns="http://schemas.openxmlformats.org/spreadsheetml/2006/main">
  <authors>
    <author>刘喆</author>
  </authors>
  <commentList>
    <comment ref="B4" authorId="0">
      <text>
        <r>
          <rPr>
            <b/>
            <sz val="9"/>
            <rFont val="宋体"/>
            <charset val="134"/>
          </rPr>
          <t xml:space="preserve">技术支持和风控部：
</t>
        </r>
        <r>
          <rPr>
            <sz val="9"/>
            <rFont val="宋体"/>
            <charset val="134"/>
          </rPr>
          <t>此单元格勿改勿删。</t>
        </r>
      </text>
    </comment>
  </commentList>
</comments>
</file>

<file path=xl/comments3.xml><?xml version="1.0" encoding="utf-8"?>
<comments xmlns="http://schemas.openxmlformats.org/spreadsheetml/2006/main">
  <authors>
    <author>陈韵桦</author>
  </authors>
  <commentList>
    <comment ref="AK7" authorId="0">
      <text>
        <r>
          <rPr>
            <b/>
            <sz val="9"/>
            <rFont val="宋体"/>
            <charset val="134"/>
          </rPr>
          <t>技术支持和风控部:</t>
        </r>
        <r>
          <rPr>
            <sz val="9"/>
            <rFont val="宋体"/>
            <charset val="134"/>
          </rPr>
          <t xml:space="preserve">
请根据期初数调整情况勾选。</t>
        </r>
      </text>
    </comment>
  </commentList>
</comments>
</file>

<file path=xl/comments4.xml><?xml version="1.0" encoding="utf-8"?>
<comments xmlns="http://schemas.openxmlformats.org/spreadsheetml/2006/main">
  <authors>
    <author>陈韵桦</author>
  </authors>
  <commentList>
    <comment ref="AK7" authorId="0">
      <text>
        <r>
          <rPr>
            <b/>
            <sz val="9"/>
            <rFont val="宋体"/>
            <charset val="134"/>
          </rPr>
          <t>技术支持和风控部:</t>
        </r>
        <r>
          <rPr>
            <sz val="9"/>
            <rFont val="宋体"/>
            <charset val="134"/>
          </rPr>
          <t xml:space="preserve">
请根据期初数调整情况勾选。</t>
        </r>
      </text>
    </comment>
  </commentList>
</comments>
</file>

<file path=xl/comments5.xml><?xml version="1.0" encoding="utf-8"?>
<comments xmlns="http://schemas.openxmlformats.org/spreadsheetml/2006/main">
  <authors>
    <author>陈韵桦</author>
  </authors>
  <commentList>
    <comment ref="AK7" authorId="0">
      <text>
        <r>
          <rPr>
            <b/>
            <sz val="9"/>
            <rFont val="宋体"/>
            <charset val="134"/>
          </rPr>
          <t>技术支持和风控部:</t>
        </r>
        <r>
          <rPr>
            <sz val="9"/>
            <rFont val="宋体"/>
            <charset val="134"/>
          </rPr>
          <t xml:space="preserve">
请根据期初数调整情况勾选。</t>
        </r>
      </text>
    </comment>
  </commentList>
</comments>
</file>

<file path=xl/comments6.xml><?xml version="1.0" encoding="utf-8"?>
<comments xmlns="http://schemas.openxmlformats.org/spreadsheetml/2006/main">
  <authors>
    <author>XuShiMingZhu</author>
  </authors>
  <commentList>
    <comment ref="B8" authorId="0">
      <text>
        <r>
          <rPr>
            <b/>
            <sz val="9"/>
            <rFont val="宋体"/>
            <charset val="134"/>
          </rPr>
          <t>技术支持和风控部：</t>
        </r>
        <r>
          <rPr>
            <sz val="9"/>
            <rFont val="宋体"/>
            <charset val="134"/>
          </rPr>
          <t xml:space="preserve">
测试结果一般有以下类型：
1、经测试，未见跨期入账现象；
2、经测试，跨期入账金额较小，显著低于微小错报水平，不作调整；
3、经测试，存在大额跨期入账现象，已扩大测试范围，对资产负债表日前后___天大额样本进行测试，并对测试中发现的跨期进行审计调整，调整分录详见调整表。</t>
        </r>
      </text>
    </comment>
  </commentList>
</comments>
</file>

<file path=xl/comments7.xml><?xml version="1.0" encoding="utf-8"?>
<comments xmlns="http://schemas.openxmlformats.org/spreadsheetml/2006/main">
  <authors>
    <author>作者</author>
  </authors>
  <commentList>
    <comment ref="F4" authorId="0">
      <text>
        <r>
          <rPr>
            <sz val="9"/>
            <rFont val="宋体"/>
            <charset val="134"/>
          </rPr>
          <t>原币</t>
        </r>
      </text>
    </comment>
    <comment ref="H4" authorId="0">
      <text>
        <r>
          <rPr>
            <sz val="9"/>
            <rFont val="宋体"/>
            <charset val="134"/>
          </rPr>
          <t>此列金额应与各银行存款余额调节表的未达帐项汇总金额勾稽一致。</t>
        </r>
      </text>
    </comment>
    <comment ref="I4" authorId="0">
      <text>
        <r>
          <rPr>
            <sz val="9"/>
            <rFont val="宋体"/>
            <charset val="134"/>
          </rPr>
          <t>此列金额应与各银行存款余额调节表的未达帐项汇总金额勾稽一致。</t>
        </r>
      </text>
    </comment>
    <comment ref="J4" authorId="0">
      <text>
        <r>
          <rPr>
            <sz val="9"/>
            <rFont val="宋体"/>
            <charset val="134"/>
          </rPr>
          <t>此列金额应与各银行存款余额调节表的未达帐项汇总金额勾稽一致。</t>
        </r>
      </text>
    </comment>
    <comment ref="K4" authorId="0">
      <text>
        <r>
          <rPr>
            <sz val="9"/>
            <rFont val="宋体"/>
            <charset val="134"/>
          </rPr>
          <t>此列金额应与各银行存款余额调节表的未达帐项汇总金额勾稽一致。</t>
        </r>
      </text>
    </comment>
    <comment ref="L4" authorId="0">
      <text>
        <r>
          <rPr>
            <sz val="9"/>
            <rFont val="宋体"/>
            <charset val="134"/>
          </rPr>
          <t>此列金额应与各银行对账单金额勾稽一致。</t>
        </r>
      </text>
    </comment>
  </commentList>
</comments>
</file>

<file path=xl/comments8.xml><?xml version="1.0" encoding="utf-8"?>
<comments xmlns="http://schemas.openxmlformats.org/spreadsheetml/2006/main">
  <authors>
    <author>刘喆</author>
  </authors>
  <commentList>
    <comment ref="AK4" authorId="0">
      <text>
        <r>
          <rPr>
            <b/>
            <sz val="9"/>
            <rFont val="宋体"/>
            <charset val="134"/>
          </rPr>
          <t xml:space="preserve">技术支持和风控部：
</t>
        </r>
        <r>
          <rPr>
            <sz val="9"/>
            <rFont val="宋体"/>
            <charset val="134"/>
          </rPr>
          <t>此单元格勿改勿删。</t>
        </r>
      </text>
    </comment>
  </commentList>
</comments>
</file>

<file path=xl/sharedStrings.xml><?xml version="1.0" encoding="utf-8"?>
<sst xmlns="http://schemas.openxmlformats.org/spreadsheetml/2006/main" count="1483" uniqueCount="722">
  <si>
    <t>货币资金审计工作底稿</t>
  </si>
  <si>
    <t>工作表名</t>
  </si>
  <si>
    <t>工作底稿名称</t>
  </si>
  <si>
    <t>是否需要编制</t>
  </si>
  <si>
    <t>索引号</t>
  </si>
  <si>
    <t>所属会计师事务所： 广东中职信会计师事务所（特殊普通合伙）</t>
  </si>
  <si>
    <t>货币资金实质性程序</t>
  </si>
  <si>
    <t>是</t>
  </si>
  <si>
    <t>被审计单位：</t>
  </si>
  <si>
    <t>广州钢力金属制品总厂有限公司</t>
  </si>
  <si>
    <t>被审计单位简称：</t>
  </si>
  <si>
    <t>钢力金属</t>
  </si>
  <si>
    <t>货币单位：</t>
  </si>
  <si>
    <t>人民币/元</t>
  </si>
  <si>
    <t>1010-1</t>
  </si>
  <si>
    <t>货币资金科目审计调整分录</t>
  </si>
  <si>
    <t>会计期间：</t>
  </si>
  <si>
    <t>2024-1-1至2024-12-31</t>
  </si>
  <si>
    <t>编制人：</t>
  </si>
  <si>
    <t>黄振通</t>
  </si>
  <si>
    <t>日期：</t>
  </si>
  <si>
    <t>2025-1-23</t>
  </si>
  <si>
    <t>1010-2</t>
  </si>
  <si>
    <t>货币资金审定表</t>
  </si>
  <si>
    <t>截止日期：</t>
  </si>
  <si>
    <t>2024-12-31</t>
  </si>
  <si>
    <t>复核人：</t>
  </si>
  <si>
    <t>王裕昆</t>
  </si>
  <si>
    <t>2025-2-10</t>
  </si>
  <si>
    <t>1010-3-1</t>
  </si>
  <si>
    <t>库存现金明细表</t>
  </si>
  <si>
    <t>1010-3-2</t>
  </si>
  <si>
    <t>银行存款明细表</t>
  </si>
  <si>
    <t>1010-3-3</t>
  </si>
  <si>
    <t>其他货币资金明细表</t>
  </si>
  <si>
    <t>1010-4</t>
  </si>
  <si>
    <t>保险柜检查记录表</t>
  </si>
  <si>
    <t>1010-5</t>
  </si>
  <si>
    <t>已开立银行账户清单与账面银行账户双向核对</t>
  </si>
  <si>
    <t>1010-6</t>
  </si>
  <si>
    <t>银行账户网银核查情况表</t>
  </si>
  <si>
    <t>1010-7</t>
  </si>
  <si>
    <t>货币资金截止性测试表</t>
  </si>
  <si>
    <t>1010-8</t>
  </si>
  <si>
    <t>银行余额调节以及未达账项汇总表</t>
  </si>
  <si>
    <t>1010-9</t>
  </si>
  <si>
    <t>银行存单检查表</t>
  </si>
  <si>
    <t>1010-10</t>
  </si>
  <si>
    <t>货币资金受限情况明细表</t>
  </si>
  <si>
    <t>1010-11</t>
  </si>
  <si>
    <t>货币资金外币折算表</t>
  </si>
  <si>
    <t>1010-12</t>
  </si>
  <si>
    <t>银行存款账面收付记录与银行对账单抽样核对表</t>
  </si>
  <si>
    <t>1010-13</t>
  </si>
  <si>
    <t>货币资金凭证抽查表</t>
  </si>
  <si>
    <t>1010-14</t>
  </si>
  <si>
    <t>大额现金交易合理性检查程序表</t>
  </si>
  <si>
    <t>货币资金函证程序</t>
  </si>
  <si>
    <t>&lt;&lt;</t>
  </si>
  <si>
    <t>索引号：</t>
  </si>
  <si>
    <t>审计目标</t>
  </si>
  <si>
    <t>财务报表认定</t>
  </si>
  <si>
    <t>存在</t>
  </si>
  <si>
    <t>完整性</t>
  </si>
  <si>
    <t>权利和义务</t>
  </si>
  <si>
    <t>计价和分摊</t>
  </si>
  <si>
    <t>分类和列报</t>
  </si>
  <si>
    <t>A</t>
  </si>
  <si>
    <t>资产负债表中记录的货币资金是存在的。</t>
  </si>
  <si>
    <t>√</t>
  </si>
  <si>
    <t>B</t>
  </si>
  <si>
    <t>所有应当记录的货币资金均已记录。</t>
  </si>
  <si>
    <t>C</t>
  </si>
  <si>
    <t>记录的货币资金由被审计单位拥有或控制。</t>
  </si>
  <si>
    <t>D</t>
  </si>
  <si>
    <t>货币资金以恰当的金额包括在财务报表中，与之相关的计价调整已恰当记录。</t>
  </si>
  <si>
    <t>E</t>
  </si>
  <si>
    <t>货币资金已按照企业会计准则的规定在财务报表中作出恰当列报。</t>
  </si>
  <si>
    <t>计划实施的实质性程序</t>
  </si>
  <si>
    <t>序号</t>
  </si>
  <si>
    <t>实质性程序</t>
  </si>
  <si>
    <t>是否执行</t>
  </si>
  <si>
    <t>（一）库存现金</t>
  </si>
  <si>
    <t>核对库存现金日记账与总账的金额是否相符，检查非记账本位币库存现金的折算汇率及折算金额是否正确。</t>
  </si>
  <si>
    <t>ABCD</t>
  </si>
  <si>
    <t>监盘库存现金：
（1）制定监盘计划，确定监盘时间；
（2）将盘点金额与现金日记账余额进行核对，如有差异，应要求被审计单位查明原因并作适当调整，如无法查明原因，应要求被审计单位按管理权限批准后作出调整；
（3）在非资产负债表日进行盘点时，应调整至资产负债表日的金额；
（4）若有充抵库存现金的借条、未提现支票、未作报销的原始凭证,需在盘点表中注明，如有必要应作调整,特别关注数家公司混用现金保险箱的情况。</t>
  </si>
  <si>
    <t>ADB</t>
  </si>
  <si>
    <t>抽查大额库存现金收支。检查原始凭证是否齐全、记账凭证与原始凭证是否相符、账务处理是否正确、是否记录于恰当的会计期间等项内容。</t>
  </si>
  <si>
    <t>根据评估的舞弊风险等因素增加的其他审计程序。</t>
  </si>
  <si>
    <t>如果被审计单位的现金交易比例较高，注册会计师需要了解和评估现金交易比例较高的合理性，是否与其业务性质相匹配，是否采取了适当措施保证现金收支完整、准确、安全。除实施其他审计程序外，注册会计师还应实施以下审计程序：</t>
  </si>
  <si>
    <t>（1）了解和评价被审计单位与现金交易相关的内部控制，针对现金收支相关控制运行的有效性，获取充分、适当的审计证据。如果被审计单位使用收银设备管理现金收款业务，且相关收银系统与被审计单位财务系统相关联，注册会计师需要考虑针对信息系统一般控制和应用控制执行审计工作。</t>
  </si>
  <si>
    <t>（2）结合对生产、采购、销售、工薪等业务循环相关报表项目的审计结果，分析评价现金交易的合理性，关注现金使用范围是否符合相关规定。</t>
  </si>
  <si>
    <t>（3）计算月现金销售收款、现金采购付款的占比，识别现金收、付款比例是否存在异常波动，并追查异常波动原因。</t>
  </si>
  <si>
    <t>（4）了解现金交易对方的情况。向主要的现金交易对方函证被审计期间内发生的交易金额。在必要时，注册会计师可以选取现金结算量较大的交易对方进行实地观察或询问，关注交易对方经营业务的性质、规模与收付款项的性质、规模是否一致，关注使用现金结算的合理性。如果交易对方为个人，必要时，可以考虑与其联系以核实交易的真实性。</t>
  </si>
  <si>
    <t>（5）检查大额现金收支，追踪来源和去向，核对至交易的原始单据，关注收付款方、收付款金额与合同、订单、出入库单相关信息是否一致。</t>
  </si>
  <si>
    <t>（6）注重外部证据的检查。例如，对于农业行业，针对农产品管理特点，可以获取质检报告、检验检疫合格证、采伐资质、由税务局代开发票的资料副本等外部信息，验证其交易真实性。</t>
  </si>
  <si>
    <t>（7）对现金采购、销售交易过程实施观察程序。</t>
  </si>
  <si>
    <t>（8）对库存现金实施突击监盘程序，对被审计单位库存现金存放在两处或两处以上的，可以考虑同时实施监盘；在账面库存现金为零的情况下，仍然检查保险柜，查看是否有白条、员工的工资卡及其他异常文件。</t>
  </si>
  <si>
    <t>（9）关注各币种外币汇率变动趋势，判断存在大额外币现金余额及交易额的合理性。</t>
  </si>
  <si>
    <t>（二）银行存款</t>
  </si>
  <si>
    <t>获取或编制银行存款余额明细表：
（1）复核加计是否正确，并与总账数和日记账合计数核对是否相符；
（2）检查非记账本位币银行存款的折算汇率及折算金额是否正确。</t>
  </si>
  <si>
    <t>如果对银行账户的完整性存有疑虑，注册会计师应实施以下审计程序：</t>
  </si>
  <si>
    <t>（1）了解并评价被审计单位与开立银行账户相关的内部控制的设计和执行。了解报告期内被审计单位开立账户的数量及分布，与被审计单位实际经营的需要进行比较，判断其合理性，关注是否存在越权开立账户等异常情形。</t>
  </si>
  <si>
    <t>（2）询问负责货币资金业务的相关人员（如出纳），了解账户的开立、使用、注销等情况。必要时，获取被审计单位已将全部银行账户信息提供给注册会计师的书面声明。如发现银行存款账户户名为个人，但记录在被审计单位账户清单或账簿中，考虑该个人与被审计单位的关系，并获取书面声明。</t>
  </si>
  <si>
    <t>（3）注册会计师在企业人员陪同下到人民银行或基本存款账户开户行查询并打印《已开立银行结算账户清单》，观察银行办事人员的查询、打印过程，并检查被审计单位账面记录的银行人民币结算账户是否完整。</t>
  </si>
  <si>
    <t>（4）结合其他相关细节测试，关注交易相关单据中被审计单位的收（付）款银行账户是否均包含在注册会计师已获取的开立银行账户清单内。</t>
  </si>
  <si>
    <t>（5）如果对被审计单位外币银行账户的完整性存有疑虑，可以查阅被审计单位的公章使用登记，检查其中是否有使用公章申请开户的情况，如有，检查该账户是否已列入被审计单位提供的银行账户清单中；或者向负责保管网银密钥（UKey）的人员获取被审计单位开通网银的账户清单，实地观察该人员登录被审计单位网银系统，打印相关银行开立的所有银行账户清单，并与被审计单位管理层提供的信息进行比较，以检查其完整性。如可行，注册会计师可以考虑与被审计单位人员一同前往被审计单位所在地人民银行外汇管理局，现场查询被审计单位的外币银行账户情况。</t>
  </si>
  <si>
    <t>DAB</t>
  </si>
  <si>
    <t>计算银行存款累计余额应收利息收入，分析比较被审计单位银行存款应收利息收入与实际利息收入的差异是否恰当，评估利息收入的合理性，检查是否存在高息资金拆借，确认银行存款余额是否存在，利息收入是否已经完整记录。
会计监管风险提示第4号（证监办发[2012]89号）特别要求：对于IPO业务，注册会计师在执行与货币资金有关的实质性审计程序时，不应仅局限于银行函证、现金盘点和检查银行存款余额调节表等常规审计程序，还应该结合发行人申报期内的销售、采购交易等情况，适当运用分析性程序以识别风险：…（4）结合对利息收入和银行手续费的审计，分析发行人货币资金余额和交易的合理性。</t>
  </si>
  <si>
    <t>执行货币资金的分析程序，结合对其他项目的分析核验，判断货币资金项目的合理性。例如对上市公司货币资金余额持续较高、“存贷双高”等情形，应当将货币资金余额与利息收支、资金支出、资金使用计划、利润分配、同行业情况、手续费、控股股东相关情况等对比分析并评估其合理性，对异常情况进行调查。</t>
  </si>
  <si>
    <t>AC</t>
  </si>
  <si>
    <t>函证银行存款余额，编制银行函证结果汇总表，检查银行回函：
（1）向被审计单位在本期存过款的银行发函，包括零账户和账户已结清的银行；
（2）确定被审计单位账面余额与银行函证结果的差异，对不符事项作出适当处理。
会计监管风险提示第4号（证监办发[2012]89号）特别要求：对于IPO项目，在进行银行函证时，关注是否存在受限货币资金。</t>
  </si>
  <si>
    <t>检查银行存款账户存款人是否为被审计单位，若存款人非被审计单位，应获取该账户户主和被审计单位的书面声明，确认资产负债表日是否需要调整。
会计监管风险提示第4号（证监办发[2012]89号）特别对于IPO业务，注册会计师在执行与货币资金有关的实质性审计程序时，不应仅局限于银行函证、现金盘点和检查银行存款余额调节表等常规审计程序，还应该结合发行人申报期内的销售、采购交易等情况，适当运用分析性程序以识别风险：（1）申报期内开户银行的数量及分布与发行人实际经营的需要是否一致；（2）银行账户的实际用途是否合理，尤其关注申报期内大额资金往来和新开账户；（3）申报期内注销账户原因，防止因发行人注销账户而降低注册会计师对该账户的风险预期等；（4）结合对利息收入和银行手续费的审计，分析发行人货币资金余额和交易的合理性。</t>
  </si>
  <si>
    <t>AB</t>
  </si>
  <si>
    <t>证监会14号公告第8项要求：发行人及相关中介机构应充分关注现金收付交易对发行人会计核算基础的不利影响。包括从外部获取期末资金流水与企业日记账、企业提供的对账单核对；核查现金销售金额及其占总销售额的比例，评估现金销售的风险；对大额和异常项目进行抽查</t>
  </si>
  <si>
    <t>关注是否存在质押、冻结等对变现有限制或存在境外的款项。是否已做必要的调整和披露。</t>
  </si>
  <si>
    <t>对不符合现金及现金等价物条件的银行存款在审计工作底稿中予以列明，以考虑对现金流量表的影响。</t>
  </si>
  <si>
    <t>抽查大额银行存款收支的原始凭证，检查原始凭证是否齐全、记账凭证与原始凭证是否相符、账务处理是否正确、是否记录于恰当的会计期间等项内容。检查是否存在非营业目的的大额货币资金转移，并核对相关账户的进账情况；如有与被审计单位生产经营无关的收支事项，应查明原因并作相应的记录。
会计监管风险提示第4号（证监办发[2012]89号）特别要求：对于IPO业务，审计人员在对发行人大额现金收支交易进行审计时，应当：（1）关注大额现金使用范围是否符合《现金管理暂行条例》的规定；（2）以收取现金方式实现销售的，应核对付款方和付款金额与合同、订单、出库单是否一致，以确定款项确实由客户支付；（3）必要时，向现金交易客户函证申报期内各期收入金额，以评估现金收入的发生和完整性认定是否恰当。
会计监管风险提示第4号（证监办发[2012]89号）特别要求：对于IPO业务，审计人员应转变余额审计观念，重视核对发行人申报期内银行交易：（1）设定重要性水平，分账户详细核对申报期内重要大额交易；（3）核对收付发生额时要高度谨慎，如高度重视长期未达账项，查看是否存在挪用资金等事项；（4）关注收付业务内容与公司日常收支的相关性，以识别发行人转移资金或者出借银行账户的情况；（5）结合应收应付账款科目审计，防止发行人粉饰现金流量；（6）核对会计核算系统发生额与网上银行流水。
参照证监会14号公告的配套底稿要求：选取资金流水\银行对账单中的大额资金进出（大额标准、抽查比例根据具体情况确定）与银行日记账核对，检查至原始凭证，检查资金进出、业务开展、财务入账的情况，如有异常，应查明原因。核查时可特别关注以下情况：
（1）存续期短、单笔交易额大的账户
（2）在发行人无业务地点开设的账户
（3）各报告期末最后一个月的大额交易
（4）大额入账短期全部或大部分转出
（5）频繁的、一一对应的转入转出
（6）收付业务内容与公司日常收支的相关性
核查应形成测试底稿，记录抽查到的项目的详细信息，分析各个项目是否具有真实、合理的交易背景、账务处理是否正确。</t>
  </si>
  <si>
    <t>检查银行存款收支的截止是否正确，如有跨期收支事项，应考虑是否应进行调整。</t>
  </si>
  <si>
    <t>ABC</t>
  </si>
  <si>
    <t>银行存款账面收付记录与银行对账单抽样核对：
1、在银行日记账中抽取一定样本量的大额发生额与银行对账单核对，检查银行存款记录完整性；
2、在银行对账单中抽取一定样本量的大额发生额与银行日记账核对，检查银行存款记录真实性。</t>
  </si>
  <si>
    <t>（三）定期存款</t>
  </si>
  <si>
    <r>
      <rPr>
        <sz val="10"/>
        <rFont val="宋体"/>
        <charset val="134"/>
      </rPr>
      <t>A</t>
    </r>
    <r>
      <rPr>
        <sz val="10"/>
        <rFont val="宋体"/>
        <charset val="134"/>
      </rPr>
      <t>B</t>
    </r>
    <r>
      <rPr>
        <sz val="10"/>
        <rFont val="宋体"/>
        <charset val="134"/>
      </rPr>
      <t>C</t>
    </r>
    <r>
      <rPr>
        <sz val="10"/>
        <rFont val="宋体"/>
        <charset val="134"/>
      </rPr>
      <t>E</t>
    </r>
  </si>
  <si>
    <t>如果被审计单位有定期存款，注册会计师可以考虑实施以下审计程序：</t>
  </si>
  <si>
    <t>（1）如果定期存款占银行存款的比例偏高，或同时负债比例偏高，注册会计师需要向管理层询问定期存款存在的商业理由并评估其合理性。</t>
  </si>
  <si>
    <t>（2）获取定期存款明细表，检查是否与账面记录金额一致，存款人是否为被审计单位，定期存款是否被质押或限制使用。</t>
  </si>
  <si>
    <t>（3）监盘定期存款凭据，或实地观察被审计单位登录网银系统查询定期存款信息，并将查询信息截屏保存。如果被审计单位在资产负债表日有大额定期存款，基于对风险的判断，考虑选择在资产负债表日实施监盘。</t>
  </si>
  <si>
    <t>（4）对存款期限跨越资产负债表日的未质押定期存款，检查开户证实书原件而非复印件，以防止被审计单位提供的复印件是未质押或未提现前原件的复印件，特别关注被审计单位在定期存单到期之前，是否存在先办理质押贷款或提前套现，再用质押贷款所得货币资金或套取的货币资金虚增收入、挪作他用或从事其他违规业务的情形。在检查时，还要认真核对相关信息，包括存款人、金额、期限等，如有异常，需实施进一步审计程序。</t>
  </si>
  <si>
    <t>（5）对已质押的定期存款，检查定期存单复印件，并与相应的质押合同核对，核对存款人、金额、期限等相关信息；对于用于质押借款的定期存单，关注定期存单对应的质押借款有无入账；对于超过借款期限但仍处于质押状态的定期存款，还需要关注相关借款的偿还情况，了解相关质权是否已被行使；对于为他人担保的定期存单，关注担保是否逾期及相关质权是否已被行使。</t>
  </si>
  <si>
    <t>（6）函证定期存款相关信息。按照《中国注册会计师审计准则第1312号——函证》的要求实施函证程序，关注银行回函是否对包括“是否用于担保或存在其他使用限制”在内的项目给予了完整回复。</t>
  </si>
  <si>
    <t>（7）结合财务费用和投资收益审计，分析利息收入的合理性，判断定期存款是否真实存在，或是否存在体外资金循环的情形。如果账面利息收入远大于根据定期存款计算的应得利息，很可能表明被审计单位存在账外定期存款。如果账面利息收入远小于根据定期存款计算的应得利息，很可能表明被审计单位存在转移利息收入或挪用、虚构定期存款的情况。</t>
  </si>
  <si>
    <t>（8）对于在报告期内到期结转的定期存款、资产负债表日后已提取的定期存款，检查、核对相应的兑付凭证、银行对账单或网银记录等。</t>
  </si>
  <si>
    <t>（9）关注被审计单位是否在财务报表附注中对定期存款及其受限情况（如有）给予充分披露。</t>
  </si>
  <si>
    <t>（10）编制银行存单检查表，检查是否与账面记录金额一致，是否被质押或限制使用，存单是否为被审计单位所拥有，分析评估定期存款的商业理由及合理性。
对审计外勤工作结束日前已提取的定期存款，应核对相应的兑付凭证、银行对账单和定期存款复印件；对质押事项逾期的，应重点关注相关质权是否已被行使。</t>
  </si>
  <si>
    <t>（四）银行存款余额调节表</t>
  </si>
  <si>
    <r>
      <rPr>
        <sz val="10"/>
        <rFont val="宋体"/>
        <charset val="134"/>
      </rPr>
      <t>AB</t>
    </r>
    <r>
      <rPr>
        <sz val="10"/>
        <rFont val="宋体"/>
        <charset val="134"/>
      </rPr>
      <t>D</t>
    </r>
  </si>
  <si>
    <t>取得并检查银行存款余额调节表：
（1）取得被审计单位的银行存款余额对账单，并与银行询证函回函核对，确认是否一致，抽样核对账面记录的已付票据金额及存款金额是否与对账单记录一致；
会计监管风险提示第4号（证监办发[2012]89号）特别要求：对于IPO业务，审计人员应转变余额审计观念，重视核对发行人申报期内银行交易：…（2）要求发行人提供加盖银行印章的对账单，必要时可以重新向银行取得对账单，以获取真实的银行对账单作为外部证据；…
（2）获取资产负债表日的银行存款余额调节表，检查调节表中加计数是否正确，调节后银行存款日记账余额与银行对账单余额是否一致；
（3）检查调节事项的性质和范围是否合理：
1）检查是否存在跨期收支和跨行转账的调节事项。编制跨行转账业务明细表，检查跨行转账业务是否同时对应转入和转出，未在同一期间完成的转账业务是否反映在银行存款余额调节表的调整事项中。
2）检查大额在途存款和未付票据：
①检查在途存款的日期，查明发生在途存款的具体原因，追查期后银行对账单存款记录日期，确定被审计单位与银行记账时间差异是否合理，确定在资产负债表日是否需审计调整；
②检查被审计单位的未付票据明细清单，查明被审计单位未及时入账的原因，确定账簿记录时间晚于银行对账单的日期是否合理；
③检查被审计单位未付票据明细清单中有记录，但截止资产负债表日银行对账单无记录且金额较大的未付票据，获取票据领取人的书面说明。确认资产负债表日是否需要进行调整；
④检查资产负债表日后银行对账单是否完整地记录了调节事项中银行未付票据金额；
（4）检查是否存在未入账的利息收入和利息支出；
（5）检查是否存在其他跨期收支事项；
（6）（当未经授权或授权不清支付货币资金的现象比较突出时）检查银行存款余额调节表中支付给异常的领款（包括没有载明收款人）、签字不全、收款地址不清、金额较大票据的调整事项，确认是否存在舞弊。</t>
  </si>
  <si>
    <t>注册会计师针对银行存款余额调节表应实施以下审计程序：</t>
  </si>
  <si>
    <t>（1）了解并评价与银行存款余额调节表的编制和复核及差异处理相关的内部控制。</t>
  </si>
  <si>
    <t>（2）设计和实施控制测试，针对与银行存款余额调节表相关的控制运行的有效性，获取充分、适当的审计证据。</t>
  </si>
  <si>
    <t>（3）观察被审计单位人员登录并操作网银系统导出信息的过程，核对网银界面的真实性，核对网银中显示或下载的信息与提供给注册会计师的对账单中信息的一致性，不切实可行的除外。</t>
  </si>
  <si>
    <t>（4）检查银行存款账面余额与银行对账单是否调节一致，如果未调节一致，被审计单位是否查明原因，对需要进行账务调整的事项，是否及时进行处理。</t>
  </si>
  <si>
    <t>（5）了解银行存款余额调节表中调节事项的性质，对银行存款余额调节表存在的大额或长期未达账项，注册会计师需要追查原因并检查相应的支持文件，判断是否为错报事项，确定是否需要提请被审计单位调整。对于企付银未付款项，检查被审计单位付款的原始凭证，并检查该项付款是否已在期后银行对账单上得以反映；在检查期后银行对账单时，就对账单上所记载的内容，如支票编号、金额等，与被审计单位支票存根进行核对。对于企收银未收款项，检查被审计单位收款入账的原始凭证，检查其是否已在期后银行对账单上得以反映。对于银收企未收、银付企未付款项，检查收、付款项的内容及金额，确定是否为截止错报。</t>
  </si>
  <si>
    <t>（五）资金池业务</t>
  </si>
  <si>
    <t>注册会计师应通过下列程序检查被审计单位是否存在资金池业务：</t>
  </si>
  <si>
    <t>（1）了解被审计单位与银行账户有关的内部控制和操作规程。</t>
  </si>
  <si>
    <t>（2）询问被审计单位相关管理层及资金管理人员。</t>
  </si>
  <si>
    <t>（3）查阅董事会会议等有关会议纪要。</t>
  </si>
  <si>
    <t>（4）向开立银行账户的银行进行函证，确认相关账户是否有资金池安排。</t>
  </si>
  <si>
    <t>（5）检查被审计单位与控股股东、实际控制人及其关联方的资金往来。需要注意的是，资金池协议可能约定，参与资金池安排的账户之间的资金划转可能不予在银行对账单或网银中显示。</t>
  </si>
  <si>
    <t>如果被审计单位存在资金池业务，注册会计师需要了解和评估被审计单位加入资金池业务的合法合规性、资金池资金在各企业之间和集团层面的集中方式、是否采取了适当措施保证资金安全等。注册会计师可以考虑实施以下审计程序：</t>
  </si>
  <si>
    <t>（1）获取资金池协议、股东大会或有权机构同意加入资金池协议的决议等批准文件，关注相关协议签订的授权审批情况。</t>
  </si>
  <si>
    <t>（2）阅读资金池协议，了解资金集中方式、相关账户的余额显示模式，关注账户支付控制及其变更的设定等重要内容。</t>
  </si>
  <si>
    <t>（3）在理解银行对账单上关于资金池资金使用的各种银行术语释义的基础上，函证实际余额（即截至函证基准日被审计单位参与资金池业务的银行账户中实际存在的余额，不包括诸如已上存集团归集账户而不实际存放在被审计单位账户的金额）。在必要且可行的情况下，可以进一步函证截至函证基准日，被审计单位已被归集的上存资金余额或向上级借款余额（如为子账户）或者被审计单位从各级子账户归集的资金余额或向下级账户提供的借款余额（如为主账户）；必要时，关注函证基准日前后资金池账户之间的资金划拨，以识别是否存在被审计单位为应付注册会计师的函证程序而突击划转资金的情况。</t>
  </si>
  <si>
    <t>（4）在必要的情况下，了解被审计单位的控股股东、实际控制人或其他相关关联方的财务状况，关注上述各方是否存在资金紧张或长期占用被审计单位资金的情况，是否存在被审计单位资金可能被占用无法按期归还的情形，是否需要计提坏账准备。</t>
  </si>
  <si>
    <t>（5）如果注册会计师识别出被审计单位的收入真实性存在重大异常，同时存在被审计单位大额资金通过资金池业务被归集的情形，需要考虑是否存在控股股东或实际控制人通过资金池业务套取资金，配合被审计单位虚构销售交易的可能性，并在必要时实施“延伸检查”程序（参见《中国注册会计师审计准则问题解答第4号——收入确认》）。</t>
  </si>
  <si>
    <t>（6）关注被审计单位是否将资金池资金按照企业会计准则的要求在财务报表中予以恰当列报，是否在财务报表附注中对资金池业务及其相关余额、由此产生的关联方交易（如有）进行充分披露。在资产负债表中，如被审计单位通过资金池业务向其他关联公司提供融资，已上存资金余额可能并不符合货币资金的定义，不应在货币资金列报，而应列报为其他应收款等相关项目；在现金流量表中，已上存资金余额可能并不符合现金及现金等价物的定义。</t>
  </si>
  <si>
    <t>（六）其他货币资金</t>
  </si>
  <si>
    <t>获取或编制其他货币资金明细表：
（1）复核银行汇票存款、银行本票存款、信用卡存款、信用证保证金存款、存出投资款、外埠存款等加计是否正确，并与总账数和日记账明细账合计数核对是否相符；
（2）检查非记账本位币其他货币资金的折算汇率及折算是否正确。</t>
  </si>
  <si>
    <t>取得并检查其他货币资金余额调节表：
（1）取得被审计单位银行对账单，检查被审计单位提供的银行对账单是否存在涂改或修改的情况，确定银行对账单金额的正确性，并与银行回函结果核对是否一致，抽样核对账面记录的已付款金额及存款金额是否与对账单记录一致；
1）应将保证金户对账单与相应的交易进行核对。检查保证金与相关债务的比例和合同约定是否一致。特别关注是否存在有保证金发生，而被审计单位账面无对应的保证事项的情形；
2）若信用卡持有人是被审计单位职员，应取得该职员提供的确认书，并应考虑进行调整；
（2）获取资产负债表日的其他货币资金存款余额调节表，检查调节表中加计数是否正确，调节后其他货币资金日记账余额与银行对账单余额是否一致；
（3）检查调节事项的性质和范围是否合理，如存在重大差异应作审计调整。</t>
  </si>
  <si>
    <t>函证银行汇票存款、银行本票存款、信用卡存款、信用证保证金存款、存出投资款、外埠存款等期末余额，编制其他货币资金函证结果汇总表，检查银行回函。</t>
  </si>
  <si>
    <t>注册会计师在对其他货币资金实施审计程序时，需要特别关注以下事项：</t>
  </si>
  <si>
    <t>（1）保证金存款的检查，检查开立银行承兑汇票的协议或银行授信审批文件。可以将保证金账户对账单与相应的交易进行核对，根据被审计单位应付票据的规模合理推断保证金数额。检查信用证的开立协议与保证金是否相符，检查保证金与相关债务的比例是否与合同约定一致，特别关注是否存在有保证金发生而被审计单位无对应保证事项的情形。</t>
  </si>
  <si>
    <t>（2）对于存出投资款，跟踪资金流向，并获取董事会决议等批准文件、开户资料、授权操作资料等。如果投资于证券交易业务，通常结合相应金融资产项目审计，核对证券账户户名是否与被审计单位相符，获取证券公司证券交易结算资金账户的交易流水，抽查大额的资金收支，关注资金收支的账面记录与资金流水是否相符。</t>
  </si>
  <si>
    <t>（3）因互联网支付留存于第三方支付平台的资金。了解是否开立支付宝、微信等第三方支付账户，如是，获取相关开户信息资料，了解其用途和使用情况，获取与第三方支付平台签订的协议，了解第三方平台使用流程等内部控制，比照验证银行存款或银行交易的方式对第三方平台支付账户函证交易发生额和余额（如可行）。获取第三方支付平台发生额及余额明细，并与账面记录进行核对，对大额交易考虑实施进一步的检查程序。</t>
  </si>
  <si>
    <t>检查其他货币资金存款账户存款人是否为被审计单位，若存款人非被审计单位，应获取该账户户主和被审计单位的书面声明，确认资产负债表日是否需要调整。</t>
  </si>
  <si>
    <t>CE</t>
  </si>
  <si>
    <t>关注是否有质押、冻结等对变现有限制、或存放在境外、或有潜在回收风险的款项。</t>
  </si>
  <si>
    <t>对其他货币资金收支凭证实施截止测试，如有跨期收支事项，应考虑是否进行调整。</t>
  </si>
  <si>
    <t>是否记录于恰当的会计期间等项内容。</t>
  </si>
  <si>
    <t>据评估的舞弊风险等因素增加的其他审计程序。</t>
  </si>
  <si>
    <t>检查货币资金，是否已按照企业会计准则的规定在财务报表中作出恰当列报。
附注是否按库存现金、银行存款、其他货币资金分别列示货币资金情况。因质押或冻结等对使用有限制、存放在境外、有潜在回收风险的款项应单独说明。</t>
  </si>
  <si>
    <t>编制说明：</t>
  </si>
  <si>
    <r>
      <rPr>
        <sz val="10"/>
        <color indexed="10"/>
        <rFont val="宋体"/>
        <charset val="134"/>
      </rPr>
      <t>《中国注册会计师审计准则问题解答第</t>
    </r>
    <r>
      <rPr>
        <sz val="10"/>
        <color indexed="10"/>
        <rFont val="Times New Roman"/>
        <charset val="134"/>
      </rPr>
      <t>12</t>
    </r>
    <r>
      <rPr>
        <sz val="10"/>
        <color indexed="10"/>
        <rFont val="宋体"/>
        <charset val="134"/>
      </rPr>
      <t>号</t>
    </r>
    <r>
      <rPr>
        <sz val="10"/>
        <color indexed="10"/>
        <rFont val="Times New Roman"/>
        <charset val="134"/>
      </rPr>
      <t>-</t>
    </r>
    <r>
      <rPr>
        <sz val="10"/>
        <color indexed="10"/>
        <rFont val="宋体"/>
        <charset val="134"/>
      </rPr>
      <t>货币资金审计》（</t>
    </r>
    <r>
      <rPr>
        <sz val="10"/>
        <color indexed="10"/>
        <rFont val="Times New Roman"/>
        <charset val="134"/>
      </rPr>
      <t>2019</t>
    </r>
    <r>
      <rPr>
        <sz val="10"/>
        <color indexed="10"/>
        <rFont val="宋体"/>
        <charset val="134"/>
      </rPr>
      <t>修订）提示，在实施货币资金审计的过程中，如果被审计单位存在以下事项或情形，注册会计师需要保持警觉：（</t>
    </r>
    <r>
      <rPr>
        <sz val="10"/>
        <color indexed="10"/>
        <rFont val="Times New Roman"/>
        <charset val="134"/>
      </rPr>
      <t>1</t>
    </r>
    <r>
      <rPr>
        <sz val="10"/>
        <color indexed="10"/>
        <rFont val="宋体"/>
        <charset val="134"/>
      </rPr>
      <t>）被审计单位的现金交易比例较高，并且与其所在行业的常用结算模式不同。（</t>
    </r>
    <r>
      <rPr>
        <sz val="10"/>
        <color indexed="10"/>
        <rFont val="Times New Roman"/>
        <charset val="134"/>
      </rPr>
      <t>2</t>
    </r>
    <r>
      <rPr>
        <sz val="10"/>
        <color indexed="10"/>
        <rFont val="宋体"/>
        <charset val="134"/>
      </rPr>
      <t>）库存现金规模明显超过业务周转所需资金。（</t>
    </r>
    <r>
      <rPr>
        <sz val="10"/>
        <color indexed="10"/>
        <rFont val="Times New Roman"/>
        <charset val="134"/>
      </rPr>
      <t>3</t>
    </r>
    <r>
      <rPr>
        <sz val="10"/>
        <color indexed="10"/>
        <rFont val="宋体"/>
        <charset val="134"/>
      </rPr>
      <t>）银行账户开立数量与企业实际业务规模不匹配，或存在多个零余额账户且长期不注销。（</t>
    </r>
    <r>
      <rPr>
        <sz val="10"/>
        <color indexed="10"/>
        <rFont val="Times New Roman"/>
        <charset val="134"/>
      </rPr>
      <t>4</t>
    </r>
    <r>
      <rPr>
        <sz val="10"/>
        <color indexed="10"/>
        <rFont val="宋体"/>
        <charset val="134"/>
      </rPr>
      <t>）在没有经营业务的地区开立银行账户，或将高额资金存放于其经营注册地之外的异地。（</t>
    </r>
    <r>
      <rPr>
        <sz val="10"/>
        <color indexed="10"/>
        <rFont val="Times New Roman"/>
        <charset val="134"/>
      </rPr>
      <t>5</t>
    </r>
    <r>
      <rPr>
        <sz val="10"/>
        <color indexed="10"/>
        <rFont val="宋体"/>
        <charset val="134"/>
      </rPr>
      <t>）被审计单位资金存放于管理层或员工个人账户，或通过个人账户进行被审计单位交易的资金结算。（</t>
    </r>
    <r>
      <rPr>
        <sz val="10"/>
        <color indexed="10"/>
        <rFont val="Times New Roman"/>
        <charset val="134"/>
      </rPr>
      <t>6</t>
    </r>
    <r>
      <rPr>
        <sz val="10"/>
        <color indexed="10"/>
        <rFont val="宋体"/>
        <charset val="134"/>
      </rPr>
      <t>）货币资金收支金额与现金流量表中的经营活动、筹资活动、投资活动的现金流量不匹配，或经营活动现金流量净额与净利润不匹配。（</t>
    </r>
    <r>
      <rPr>
        <sz val="10"/>
        <color indexed="10"/>
        <rFont val="Times New Roman"/>
        <charset val="134"/>
      </rPr>
      <t>7</t>
    </r>
    <r>
      <rPr>
        <sz val="10"/>
        <color indexed="10"/>
        <rFont val="宋体"/>
        <charset val="134"/>
      </rPr>
      <t>）不能提供银行对账单或银行存款余额调节表，或提供的银行对账单没有银行印章、交易对方名称或摘要。（</t>
    </r>
    <r>
      <rPr>
        <sz val="10"/>
        <color indexed="10"/>
        <rFont val="Times New Roman"/>
        <charset val="134"/>
      </rPr>
      <t>8</t>
    </r>
    <r>
      <rPr>
        <sz val="10"/>
        <color indexed="10"/>
        <rFont val="宋体"/>
        <charset val="134"/>
      </rPr>
      <t>）存在长期或大量银行未达几项。（</t>
    </r>
    <r>
      <rPr>
        <sz val="10"/>
        <color indexed="10"/>
        <rFont val="Times New Roman"/>
        <charset val="134"/>
      </rPr>
      <t>9</t>
    </r>
    <r>
      <rPr>
        <sz val="10"/>
        <color indexed="10"/>
        <rFont val="宋体"/>
        <charset val="134"/>
      </rPr>
      <t>）银行存款明细账存在非正常转账。例如，短期内相同金额的一收一付或相同金额的分次转入转出等大额异常交易。（</t>
    </r>
    <r>
      <rPr>
        <sz val="10"/>
        <color indexed="10"/>
        <rFont val="Times New Roman"/>
        <charset val="134"/>
      </rPr>
      <t>10</t>
    </r>
    <r>
      <rPr>
        <sz val="10"/>
        <color indexed="10"/>
        <rFont val="宋体"/>
        <charset val="134"/>
      </rPr>
      <t>）存在期末余额为负数的银行账户。（</t>
    </r>
    <r>
      <rPr>
        <sz val="10"/>
        <color indexed="10"/>
        <rFont val="Times New Roman"/>
        <charset val="134"/>
      </rPr>
      <t>11</t>
    </r>
    <r>
      <rPr>
        <sz val="10"/>
        <color indexed="10"/>
        <rFont val="宋体"/>
        <charset val="134"/>
      </rPr>
      <t>）受限货币资金占比较高。（</t>
    </r>
    <r>
      <rPr>
        <sz val="10"/>
        <color indexed="10"/>
        <rFont val="Times New Roman"/>
        <charset val="134"/>
      </rPr>
      <t>12</t>
    </r>
    <r>
      <rPr>
        <sz val="10"/>
        <color indexed="10"/>
        <rFont val="宋体"/>
        <charset val="134"/>
      </rPr>
      <t>）存款收益金额与存款的规模明显不匹配。（</t>
    </r>
    <r>
      <rPr>
        <sz val="10"/>
        <color indexed="10"/>
        <rFont val="Times New Roman"/>
        <charset val="134"/>
      </rPr>
      <t>13</t>
    </r>
    <r>
      <rPr>
        <sz val="10"/>
        <color indexed="10"/>
        <rFont val="宋体"/>
        <charset val="134"/>
      </rPr>
      <t>）针对同一交易对方，在报告期内存在现金和其他结算方式并存的情形。（</t>
    </r>
    <r>
      <rPr>
        <sz val="10"/>
        <color indexed="10"/>
        <rFont val="Times New Roman"/>
        <charset val="134"/>
      </rPr>
      <t>14</t>
    </r>
    <r>
      <rPr>
        <sz val="10"/>
        <color indexed="10"/>
        <rFont val="宋体"/>
        <charset val="134"/>
      </rPr>
      <t>）违反货币资金存放和使用规定，如上市公司将募集资金违规用于质押、未经批准开立账户转移募集资金、未经许可将募集资金转作其他用途等。（</t>
    </r>
    <r>
      <rPr>
        <sz val="10"/>
        <color indexed="10"/>
        <rFont val="Times New Roman"/>
        <charset val="134"/>
      </rPr>
      <t>15</t>
    </r>
    <r>
      <rPr>
        <sz val="10"/>
        <color indexed="10"/>
        <rFont val="宋体"/>
        <charset val="134"/>
      </rPr>
      <t>）存在大额外币收付记录，而被审计单位并不涉足进出口业务。（</t>
    </r>
    <r>
      <rPr>
        <sz val="10"/>
        <color indexed="10"/>
        <rFont val="Times New Roman"/>
        <charset val="134"/>
      </rPr>
      <t>16</t>
    </r>
    <r>
      <rPr>
        <sz val="10"/>
        <color indexed="10"/>
        <rFont val="宋体"/>
        <charset val="134"/>
      </rPr>
      <t>）被审计单位以各种理由不配合注册会计师实施银行函证、不配合注册会计师至人民银行或基本户开户行打印《已开立银行结算账户清单》。（</t>
    </r>
    <r>
      <rPr>
        <sz val="10"/>
        <color indexed="10"/>
        <rFont val="Times New Roman"/>
        <charset val="134"/>
      </rPr>
      <t>17</t>
    </r>
    <r>
      <rPr>
        <sz val="10"/>
        <color indexed="10"/>
        <rFont val="宋体"/>
        <charset val="134"/>
      </rPr>
      <t>）与实际控制人（或控股股东）、银行（或财务公司）签订集团现金管理账户协议或类似协议。</t>
    </r>
  </si>
  <si>
    <r>
      <rPr>
        <sz val="10"/>
        <color rgb="FFFF0000"/>
        <rFont val="宋体"/>
        <charset val="134"/>
      </rPr>
      <t>《中国注册会计师审计准则问题解答第</t>
    </r>
    <r>
      <rPr>
        <sz val="10"/>
        <color indexed="10"/>
        <rFont val="Times New Roman"/>
        <charset val="134"/>
      </rPr>
      <t>12</t>
    </r>
    <r>
      <rPr>
        <sz val="10"/>
        <color indexed="10"/>
        <rFont val="宋体"/>
        <charset val="134"/>
      </rPr>
      <t>号</t>
    </r>
    <r>
      <rPr>
        <sz val="10"/>
        <color indexed="10"/>
        <rFont val="Times New Roman"/>
        <charset val="134"/>
      </rPr>
      <t>-</t>
    </r>
    <r>
      <rPr>
        <sz val="10"/>
        <color indexed="10"/>
        <rFont val="宋体"/>
        <charset val="134"/>
      </rPr>
      <t>货币资金审计》（</t>
    </r>
    <r>
      <rPr>
        <sz val="10"/>
        <color indexed="10"/>
        <rFont val="Times New Roman"/>
        <charset val="134"/>
      </rPr>
      <t>2019</t>
    </r>
    <r>
      <rPr>
        <sz val="10"/>
        <color indexed="10"/>
        <rFont val="宋体"/>
        <charset val="134"/>
      </rPr>
      <t>修订）提示，注册会计师在审计其他财务报表项目时，还可能关注到其他亦需保持警觉的事项或情形。例如：（</t>
    </r>
    <r>
      <rPr>
        <sz val="10"/>
        <color indexed="10"/>
        <rFont val="Times New Roman"/>
        <charset val="134"/>
      </rPr>
      <t>1</t>
    </r>
    <r>
      <rPr>
        <sz val="10"/>
        <color indexed="10"/>
        <rFont val="宋体"/>
        <charset val="134"/>
      </rPr>
      <t>）存在没有真实业务支持或与交易不相匹配的大额资金或汇票往来。（</t>
    </r>
    <r>
      <rPr>
        <sz val="10"/>
        <color indexed="10"/>
        <rFont val="Times New Roman"/>
        <charset val="134"/>
      </rPr>
      <t>2</t>
    </r>
    <r>
      <rPr>
        <sz val="10"/>
        <color indexed="10"/>
        <rFont val="宋体"/>
        <charset val="134"/>
      </rPr>
      <t>）存在长期挂账的大额预付款项等。（</t>
    </r>
    <r>
      <rPr>
        <sz val="10"/>
        <color indexed="10"/>
        <rFont val="Times New Roman"/>
        <charset val="134"/>
      </rPr>
      <t>3</t>
    </r>
    <r>
      <rPr>
        <sz val="10"/>
        <color indexed="10"/>
        <rFont val="宋体"/>
        <charset val="134"/>
      </rPr>
      <t>）存在大量货币资金的情况下仍高额或高息举债。（</t>
    </r>
    <r>
      <rPr>
        <sz val="10"/>
        <color indexed="10"/>
        <rFont val="Times New Roman"/>
        <charset val="134"/>
      </rPr>
      <t>4</t>
    </r>
    <r>
      <rPr>
        <sz val="10"/>
        <color indexed="10"/>
        <rFont val="宋体"/>
        <charset val="134"/>
      </rPr>
      <t>）付款方全称与销售客户名称不一致、收款方全称与供应商名称不一致。（</t>
    </r>
    <r>
      <rPr>
        <sz val="10"/>
        <color indexed="10"/>
        <rFont val="Times New Roman"/>
        <charset val="134"/>
      </rPr>
      <t>5</t>
    </r>
    <r>
      <rPr>
        <sz val="10"/>
        <color indexed="10"/>
        <rFont val="宋体"/>
        <charset val="134"/>
      </rPr>
      <t>）开具的银行承兑汇票没有银行承兑协议支持。（</t>
    </r>
    <r>
      <rPr>
        <sz val="10"/>
        <color indexed="10"/>
        <rFont val="Times New Roman"/>
        <charset val="134"/>
      </rPr>
      <t>6</t>
    </r>
    <r>
      <rPr>
        <sz val="10"/>
        <color indexed="10"/>
        <rFont val="宋体"/>
        <charset val="134"/>
      </rPr>
      <t>）银行承兑票据保证金余额与应付票据相应余额比例不合理。（</t>
    </r>
    <r>
      <rPr>
        <sz val="10"/>
        <color indexed="10"/>
        <rFont val="Times New Roman"/>
        <charset val="134"/>
      </rPr>
      <t>7</t>
    </r>
    <r>
      <rPr>
        <sz val="10"/>
        <color indexed="10"/>
        <rFont val="宋体"/>
        <charset val="134"/>
      </rPr>
      <t>）存在频繁的票据贴现。（</t>
    </r>
    <r>
      <rPr>
        <sz val="10"/>
        <color indexed="10"/>
        <rFont val="Times New Roman"/>
        <charset val="134"/>
      </rPr>
      <t>8</t>
    </r>
    <r>
      <rPr>
        <sz val="10"/>
        <color indexed="10"/>
        <rFont val="宋体"/>
        <charset val="134"/>
      </rPr>
      <t>）实际控制人（或控股股东）频繁进行股权质押（冻结）且累计被质押（冻结）的股权占其持有被审计单位总股本的比例较高。（</t>
    </r>
    <r>
      <rPr>
        <sz val="10"/>
        <color indexed="10"/>
        <rFont val="Times New Roman"/>
        <charset val="134"/>
      </rPr>
      <t>9</t>
    </r>
    <r>
      <rPr>
        <sz val="10"/>
        <color indexed="10"/>
        <rFont val="宋体"/>
        <charset val="134"/>
      </rPr>
      <t>）存在大量货币资金的情况下，频繁发生债务违约，或者无法按期支付股利或偿付债务本息。（</t>
    </r>
    <r>
      <rPr>
        <sz val="10"/>
        <color indexed="10"/>
        <rFont val="Times New Roman"/>
        <charset val="134"/>
      </rPr>
      <t>10</t>
    </r>
    <r>
      <rPr>
        <sz val="10"/>
        <color indexed="10"/>
        <rFont val="宋体"/>
        <charset val="134"/>
      </rPr>
      <t>）首次公开发行股票（</t>
    </r>
    <r>
      <rPr>
        <sz val="10"/>
        <color indexed="10"/>
        <rFont val="Times New Roman"/>
        <charset val="134"/>
      </rPr>
      <t>IPO</t>
    </r>
    <r>
      <rPr>
        <sz val="10"/>
        <color indexed="10"/>
        <rFont val="宋体"/>
        <charset val="134"/>
      </rPr>
      <t>）公司申报期内持续现金分红。（</t>
    </r>
    <r>
      <rPr>
        <sz val="10"/>
        <color indexed="10"/>
        <rFont val="Times New Roman"/>
        <charset val="134"/>
      </rPr>
      <t>11</t>
    </r>
    <r>
      <rPr>
        <sz val="10"/>
        <color indexed="10"/>
        <rFont val="宋体"/>
        <charset val="134"/>
      </rPr>
      <t>）工程付款进度或结算周期异常等。</t>
    </r>
  </si>
  <si>
    <t>分录序号</t>
  </si>
  <si>
    <t>调整事项说明</t>
  </si>
  <si>
    <t>报表科目</t>
  </si>
  <si>
    <t>二级科目</t>
  </si>
  <si>
    <t>三级科目</t>
  </si>
  <si>
    <t>明细项目</t>
  </si>
  <si>
    <t>调  整  金  额</t>
  </si>
  <si>
    <t>备注</t>
  </si>
  <si>
    <t>借  方</t>
  </si>
  <si>
    <t>贷  方</t>
  </si>
  <si>
    <t>[START]</t>
  </si>
  <si>
    <r>
      <rPr>
        <sz val="10"/>
        <color rgb="FF000000"/>
        <rFont val="宋体"/>
        <charset val="134"/>
      </rPr>
      <t>项目</t>
    </r>
  </si>
  <si>
    <r>
      <rPr>
        <sz val="10"/>
        <color rgb="FF000000"/>
        <rFont val="宋体"/>
        <charset val="134"/>
      </rPr>
      <t>期末未审数</t>
    </r>
  </si>
  <si>
    <r>
      <rPr>
        <sz val="10"/>
        <color rgb="FF000000"/>
        <rFont val="宋体"/>
        <charset val="134"/>
      </rPr>
      <t>审计调整</t>
    </r>
  </si>
  <si>
    <r>
      <rPr>
        <sz val="10"/>
        <color rgb="FF000000"/>
        <rFont val="宋体"/>
        <charset val="134"/>
      </rPr>
      <t>期末审定数</t>
    </r>
  </si>
  <si>
    <t>期初审定数</t>
  </si>
  <si>
    <r>
      <rPr>
        <sz val="10"/>
        <color rgb="FF000000"/>
        <rFont val="宋体"/>
        <charset val="134"/>
      </rPr>
      <t>对比上期末变动额</t>
    </r>
  </si>
  <si>
    <r>
      <rPr>
        <sz val="10"/>
        <color rgb="FF000000"/>
        <rFont val="宋体"/>
        <charset val="134"/>
      </rPr>
      <t>变动率</t>
    </r>
  </si>
  <si>
    <t>库存现金</t>
  </si>
  <si>
    <t>银行存款</t>
  </si>
  <si>
    <t>其他货币资金</t>
  </si>
  <si>
    <t>合计</t>
  </si>
  <si>
    <t>— —</t>
  </si>
  <si>
    <t>审计说明：</t>
  </si>
  <si>
    <t>1、获取企业明细账，并与总账核对一致。</t>
  </si>
  <si>
    <t>2、已对库存现金及保险柜存放其他物品情况进行盘点，盘点情况详见“1010-4”。</t>
  </si>
  <si>
    <t>3、对所有已开立账户进行函证，（审计结论），见“xxx”。</t>
  </si>
  <si>
    <t>4、取得自基本户打印的已开立其他银行结算账户清单，经检查，（审计结论），见“1010-5”。</t>
  </si>
  <si>
    <t>5、已获取定期银行存单，并根据所属银行、本金、到期日情况编制银行存单检查表，详见“1010-9”。</t>
  </si>
  <si>
    <t>6、针对整个科目不实施发函程序的，请说明不发函原因：</t>
  </si>
  <si>
    <t>7、……</t>
  </si>
  <si>
    <t>审计调整：</t>
  </si>
  <si>
    <t>无</t>
  </si>
  <si>
    <t>审计结论：</t>
  </si>
  <si>
    <t>经审计调整后，余额可以确认。</t>
  </si>
  <si>
    <r>
      <rPr>
        <sz val="10"/>
        <color indexed="12"/>
        <rFont val="Arial Narrow"/>
        <charset val="134"/>
      </rPr>
      <t>“</t>
    </r>
    <r>
      <rPr>
        <sz val="10"/>
        <color indexed="12"/>
        <rFont val="宋体"/>
        <charset val="134"/>
      </rPr>
      <t>审计说明</t>
    </r>
    <r>
      <rPr>
        <sz val="10"/>
        <color indexed="12"/>
        <rFont val="Arial Narrow"/>
        <charset val="134"/>
      </rPr>
      <t>”</t>
    </r>
    <r>
      <rPr>
        <sz val="10"/>
        <color indexed="12"/>
        <rFont val="宋体"/>
        <charset val="134"/>
      </rPr>
      <t>至少需要说明该科目核算内容、增减变动的主要原因、所做的审计工作等内容。</t>
    </r>
  </si>
  <si>
    <r>
      <rPr>
        <sz val="10"/>
        <color rgb="FF000000"/>
        <rFont val="宋体"/>
        <charset val="134"/>
      </rPr>
      <t>无</t>
    </r>
  </si>
  <si>
    <t>参见1010-1</t>
  </si>
  <si>
    <r>
      <rPr>
        <sz val="10"/>
        <rFont val="宋体"/>
        <charset val="134"/>
      </rPr>
      <t>经审计调整后，余额可以确认。</t>
    </r>
  </si>
  <si>
    <r>
      <rPr>
        <sz val="10"/>
        <rFont val="宋体"/>
        <charset val="134"/>
      </rPr>
      <t>经审计后，无调整事项，余额可以确认。</t>
    </r>
  </si>
  <si>
    <r>
      <rPr>
        <sz val="10"/>
        <rFont val="宋体"/>
        <charset val="134"/>
      </rPr>
      <t>经审计调整后，发生额可以确认。</t>
    </r>
  </si>
  <si>
    <r>
      <rPr>
        <sz val="10"/>
        <rFont val="宋体"/>
        <charset val="134"/>
      </rPr>
      <t>经审计后，无调整事项，发生额可以确认。</t>
    </r>
  </si>
  <si>
    <r>
      <rPr>
        <sz val="10"/>
        <rFont val="宋体"/>
        <charset val="134"/>
      </rPr>
      <t>经审计测试后，未见异常。</t>
    </r>
  </si>
  <si>
    <r>
      <rPr>
        <sz val="10"/>
        <rFont val="宋体"/>
        <charset val="134"/>
      </rPr>
      <t>经我们审计，除上述说明事项外，未发现其他重大异常。</t>
    </r>
  </si>
  <si>
    <r>
      <rPr>
        <sz val="10"/>
        <rFont val="宋体"/>
        <charset val="134"/>
      </rPr>
      <t>[自定义审计结论1…]</t>
    </r>
  </si>
  <si>
    <r>
      <rPr>
        <sz val="10"/>
        <rFont val="宋体"/>
        <charset val="134"/>
      </rPr>
      <t>[自定义审计结论2…]</t>
    </r>
  </si>
  <si>
    <r>
      <rPr>
        <sz val="10"/>
        <rFont val="宋体"/>
        <charset val="134"/>
      </rPr>
      <t>[自定义审计结论3…]</t>
    </r>
  </si>
  <si>
    <t>不设打印区域：</t>
  </si>
  <si>
    <t>所属单位</t>
  </si>
  <si>
    <t>币种</t>
  </si>
  <si>
    <t>期初余额</t>
  </si>
  <si>
    <t>调整前期末余额</t>
  </si>
  <si>
    <t>审计调整</t>
  </si>
  <si>
    <t>期末审定数</t>
  </si>
  <si>
    <t>期初审计调整</t>
  </si>
  <si>
    <t>原币</t>
  </si>
  <si>
    <t>本位币</t>
  </si>
  <si>
    <t>期初数调整说明：</t>
  </si>
  <si>
    <t>经审核，企业已经按照上年度审计报告进行了跟调，我们认可期初审定数，因此本期不涉及期初审计调整；</t>
  </si>
  <si>
    <t>×</t>
  </si>
  <si>
    <t>经审核，本年度存在会计政策变更事项，需要对期初数进行调整，因此本期对上期审定数作出如下调整（如果笔数过多，可索引至TB）：</t>
  </si>
  <si>
    <t>经审核，本年度存在前期差错更正事项，需要对期初数进行调整，因此本期对上期审定数作出如下调整（如果笔数过多，可索引至TB）：</t>
  </si>
  <si>
    <t>项目</t>
  </si>
  <si>
    <t>上期末审定数</t>
  </si>
  <si>
    <t>重要会计政策变更影响额</t>
  </si>
  <si>
    <t>重要前期差错</t>
  </si>
  <si>
    <t>请注意检查是否漏填报“上期末审定数”！！！</t>
  </si>
  <si>
    <r>
      <rPr>
        <b/>
        <sz val="10"/>
        <rFont val="宋体"/>
        <charset val="134"/>
      </rPr>
      <t>合计</t>
    </r>
  </si>
  <si>
    <r>
      <rPr>
        <sz val="10"/>
        <rFont val="Arial Narrow"/>
        <charset val="134"/>
      </rPr>
      <t>1</t>
    </r>
    <r>
      <rPr>
        <sz val="10"/>
        <rFont val="宋体"/>
        <charset val="134"/>
      </rPr>
      <t>、已对大额现金进行抽查，详见</t>
    </r>
    <r>
      <rPr>
        <sz val="10"/>
        <rFont val="Arial Narrow"/>
        <charset val="134"/>
      </rPr>
      <t>“”</t>
    </r>
    <r>
      <rPr>
        <sz val="10"/>
        <rFont val="宋体"/>
        <charset val="134"/>
      </rPr>
      <t>；</t>
    </r>
  </si>
  <si>
    <r>
      <rPr>
        <sz val="10"/>
        <color rgb="FF0000FF"/>
        <rFont val="Arial Narrow"/>
        <charset val="134"/>
      </rPr>
      <t>1</t>
    </r>
    <r>
      <rPr>
        <sz val="10"/>
        <color rgb="FF0000FF"/>
        <rFont val="宋体"/>
        <charset val="134"/>
      </rPr>
      <t>、会计监管风险提示第</t>
    </r>
    <r>
      <rPr>
        <sz val="10"/>
        <color rgb="FF0000FF"/>
        <rFont val="Arial Narrow"/>
        <charset val="134"/>
      </rPr>
      <t>4</t>
    </r>
    <r>
      <rPr>
        <sz val="10"/>
        <color rgb="FF0000FF"/>
        <rFont val="宋体"/>
        <charset val="134"/>
      </rPr>
      <t>号（证监办发</t>
    </r>
    <r>
      <rPr>
        <sz val="10"/>
        <color rgb="FF0000FF"/>
        <rFont val="Arial Narrow"/>
        <charset val="134"/>
      </rPr>
      <t>[2012]89</t>
    </r>
    <r>
      <rPr>
        <sz val="10"/>
        <color rgb="FF0000FF"/>
        <rFont val="宋体"/>
        <charset val="134"/>
      </rPr>
      <t>号）特别要求：对于</t>
    </r>
    <r>
      <rPr>
        <sz val="10"/>
        <color rgb="FF0000FF"/>
        <rFont val="Arial Narrow"/>
        <charset val="134"/>
      </rPr>
      <t>IPO</t>
    </r>
    <r>
      <rPr>
        <sz val="10"/>
        <color rgb="FF0000FF"/>
        <rFont val="宋体"/>
        <charset val="134"/>
      </rPr>
      <t>业务，审计人员在对发行人大额现金收支交易进行审计时，应当：</t>
    </r>
    <r>
      <rPr>
        <sz val="10"/>
        <color rgb="FF0000FF"/>
        <rFont val="Arial Narrow"/>
        <charset val="134"/>
      </rPr>
      <t>(1 )</t>
    </r>
    <r>
      <rPr>
        <sz val="10"/>
        <color rgb="FF0000FF"/>
        <rFont val="宋体"/>
        <charset val="134"/>
      </rPr>
      <t>关注大额现金使用范围是否符合《现金管理暂行条例》的规定；</t>
    </r>
    <r>
      <rPr>
        <sz val="10"/>
        <color rgb="FF0000FF"/>
        <rFont val="Arial Narrow"/>
        <charset val="134"/>
      </rPr>
      <t>(2 )</t>
    </r>
    <r>
      <rPr>
        <sz val="10"/>
        <color rgb="FF0000FF"/>
        <rFont val="宋体"/>
        <charset val="134"/>
      </rPr>
      <t>以收取现金方式实现销售的，应核对付款方和付款金额与合同、订单、出库单是否一致，以确定款项确实由客户支付；</t>
    </r>
    <r>
      <rPr>
        <sz val="10"/>
        <color rgb="FF0000FF"/>
        <rFont val="Arial Narrow"/>
        <charset val="134"/>
      </rPr>
      <t>(3)</t>
    </r>
    <r>
      <rPr>
        <sz val="10"/>
        <color rgb="FF0000FF"/>
        <rFont val="宋体"/>
        <charset val="134"/>
      </rPr>
      <t>必要时，向现金交易客户函证申报期内各期收入金额，以评估现金收入的发生和完整性认定是否恰当。</t>
    </r>
    <r>
      <rPr>
        <sz val="10"/>
        <color rgb="FF0000FF"/>
        <rFont val="Arial Narrow"/>
        <charset val="134"/>
      </rPr>
      <t>(4 )</t>
    </r>
    <r>
      <rPr>
        <sz val="10"/>
        <color rgb="FF0000FF"/>
        <rFont val="宋体"/>
        <charset val="134"/>
      </rPr>
      <t>结合对利息收入和银行手续费的审计，分析发行人货币资金余额和交易的合理性。</t>
    </r>
  </si>
  <si>
    <t>期初未审数</t>
  </si>
  <si>
    <t>开户银行</t>
  </si>
  <si>
    <t>银行账号</t>
  </si>
  <si>
    <t>账户性质</t>
  </si>
  <si>
    <t>本期借方</t>
  </si>
  <si>
    <t>本期贷方</t>
  </si>
  <si>
    <t>工行广州市大德路支行4206</t>
  </si>
  <si>
    <t>3602003819200314206</t>
  </si>
  <si>
    <t>人民币</t>
  </si>
  <si>
    <t>一般户</t>
  </si>
  <si>
    <t>建行广州大德路支行3210</t>
  </si>
  <si>
    <t>44001420301053013210</t>
  </si>
  <si>
    <t>基本户</t>
  </si>
  <si>
    <t>经审计，期初数与上年审定数一致，本期银行存款余额与银行对账单核对，无未达账项。</t>
  </si>
  <si>
    <t>1、银行存款审计应通过银行取得企业《开户卡资料》予以核对。目前银行开户卡资料包括开户、销户、正常使用等情况。审计人员应记录开户资料的核对情况。</t>
  </si>
  <si>
    <t>2、审计人员注意核对对账单等资料与明细表中期末余额是否一致，如果不一致应进行说明。</t>
  </si>
  <si>
    <t>钢力总厂</t>
  </si>
  <si>
    <t>中国工商银行广州银山支行1720</t>
  </si>
  <si>
    <t>3602046240000011720</t>
  </si>
  <si>
    <t>专用户</t>
  </si>
  <si>
    <t>建行广州市仓边路支行6461</t>
  </si>
  <si>
    <t>440420315014574206461</t>
  </si>
  <si>
    <t>经审计，期初数据与上年审定数一致，账户性质均为住房基金户，未发现其他异常情况。</t>
  </si>
  <si>
    <t>1、审计人员注意核对对账单等资料与明细表中期末余额是否一致，如果不一致应进行说明。</t>
  </si>
  <si>
    <t>盘点单位</t>
  </si>
  <si>
    <t>审计基准日</t>
  </si>
  <si>
    <t>会计主管</t>
  </si>
  <si>
    <t>结账日期</t>
  </si>
  <si>
    <t>出纳人员</t>
  </si>
  <si>
    <t>盘点日期</t>
  </si>
  <si>
    <t>盘点人员</t>
  </si>
  <si>
    <t>监盘人员</t>
  </si>
  <si>
    <t>一、现金检查盘点记录</t>
  </si>
  <si>
    <t>二、有价证券盘点记录</t>
  </si>
  <si>
    <t>三、尚未记账的收入支出凭证</t>
  </si>
  <si>
    <t>四、其他在保险柜存储的物品</t>
  </si>
  <si>
    <r>
      <rPr>
        <sz val="10"/>
        <rFont val="宋体"/>
        <charset val="134"/>
      </rPr>
      <t>项次</t>
    </r>
  </si>
  <si>
    <r>
      <rPr>
        <sz val="10"/>
        <rFont val="宋体"/>
        <charset val="134"/>
      </rPr>
      <t>人民币</t>
    </r>
  </si>
  <si>
    <r>
      <rPr>
        <sz val="10"/>
        <rFont val="宋体"/>
        <charset val="134"/>
      </rPr>
      <t>某外币1</t>
    </r>
  </si>
  <si>
    <r>
      <rPr>
        <sz val="10"/>
        <rFont val="宋体"/>
        <charset val="134"/>
      </rPr>
      <t>某外币2</t>
    </r>
  </si>
  <si>
    <r>
      <rPr>
        <sz val="10"/>
        <rFont val="宋体"/>
        <charset val="134"/>
      </rPr>
      <t>有价证券名称</t>
    </r>
  </si>
  <si>
    <r>
      <rPr>
        <sz val="10"/>
        <rFont val="宋体"/>
        <charset val="134"/>
      </rPr>
      <t>数量</t>
    </r>
  </si>
  <si>
    <r>
      <rPr>
        <sz val="10"/>
        <rFont val="宋体"/>
        <charset val="134"/>
      </rPr>
      <t>项目</t>
    </r>
  </si>
  <si>
    <r>
      <rPr>
        <sz val="10"/>
        <rFont val="宋体"/>
        <charset val="134"/>
      </rPr>
      <t>张数</t>
    </r>
  </si>
  <si>
    <r>
      <rPr>
        <sz val="10"/>
        <rFont val="宋体"/>
        <charset val="134"/>
      </rPr>
      <t>金额</t>
    </r>
  </si>
  <si>
    <r>
      <rPr>
        <sz val="10"/>
        <rFont val="宋体"/>
        <charset val="134"/>
      </rPr>
      <t>名称</t>
    </r>
  </si>
  <si>
    <r>
      <rPr>
        <sz val="10"/>
        <rFont val="宋体"/>
        <charset val="134"/>
      </rPr>
      <t>盘点实有库存现金数额</t>
    </r>
  </si>
  <si>
    <r>
      <rPr>
        <sz val="10"/>
        <rFont val="宋体"/>
        <charset val="134"/>
      </rPr>
      <t>①</t>
    </r>
  </si>
  <si>
    <r>
      <rPr>
        <sz val="10"/>
        <rFont val="宋体"/>
        <charset val="134"/>
      </rPr>
      <t>上一日账面库存余额</t>
    </r>
  </si>
  <si>
    <r>
      <rPr>
        <sz val="10"/>
        <rFont val="宋体"/>
        <charset val="134"/>
      </rPr>
      <t>②</t>
    </r>
  </si>
  <si>
    <r>
      <rPr>
        <sz val="10"/>
        <rFont val="宋体"/>
        <charset val="134"/>
      </rPr>
      <t>盘点日未记账传票收入金额</t>
    </r>
  </si>
  <si>
    <r>
      <rPr>
        <sz val="10"/>
        <rFont val="宋体"/>
        <charset val="134"/>
      </rPr>
      <t>③</t>
    </r>
  </si>
  <si>
    <r>
      <rPr>
        <sz val="10"/>
        <rFont val="宋体"/>
        <charset val="134"/>
      </rPr>
      <t>盘点日未记账传票支出金额</t>
    </r>
  </si>
  <si>
    <r>
      <rPr>
        <sz val="10"/>
        <rFont val="宋体"/>
        <charset val="134"/>
      </rPr>
      <t>④</t>
    </r>
  </si>
  <si>
    <r>
      <rPr>
        <sz val="10"/>
        <rFont val="宋体"/>
        <charset val="134"/>
      </rPr>
      <t>盘点日账面应有金额</t>
    </r>
  </si>
  <si>
    <r>
      <rPr>
        <sz val="10"/>
        <rFont val="宋体"/>
        <charset val="134"/>
      </rPr>
      <t>⑤=②+③-④</t>
    </r>
  </si>
  <si>
    <r>
      <rPr>
        <sz val="10"/>
        <rFont val="宋体"/>
        <charset val="134"/>
      </rPr>
      <t>盘点日应有与实有差异</t>
    </r>
  </si>
  <si>
    <r>
      <rPr>
        <sz val="10"/>
        <rFont val="宋体"/>
        <charset val="134"/>
      </rPr>
      <t>⑥=⑤-①</t>
    </r>
  </si>
  <si>
    <r>
      <rPr>
        <sz val="10"/>
        <rFont val="宋体"/>
        <charset val="134"/>
      </rPr>
      <t>差异原因分析</t>
    </r>
  </si>
  <si>
    <t>追溯调整</t>
  </si>
  <si>
    <r>
      <rPr>
        <sz val="10"/>
        <rFont val="宋体"/>
        <charset val="134"/>
      </rPr>
      <t>报表日至审计日库存现金付出总额</t>
    </r>
  </si>
  <si>
    <r>
      <rPr>
        <sz val="10"/>
        <rFont val="宋体"/>
        <charset val="134"/>
      </rPr>
      <t>⑦</t>
    </r>
  </si>
  <si>
    <r>
      <rPr>
        <sz val="10"/>
        <rFont val="宋体"/>
        <charset val="134"/>
      </rPr>
      <t>报表日至审计日库存现金收入总额</t>
    </r>
  </si>
  <si>
    <r>
      <rPr>
        <sz val="10"/>
        <rFont val="宋体"/>
        <charset val="134"/>
      </rPr>
      <t>⑧</t>
    </r>
  </si>
  <si>
    <r>
      <rPr>
        <sz val="10"/>
        <rFont val="宋体"/>
        <charset val="134"/>
      </rPr>
      <t>报表日库存现金应有余额</t>
    </r>
  </si>
  <si>
    <r>
      <rPr>
        <sz val="10"/>
        <rFont val="宋体"/>
        <charset val="134"/>
      </rPr>
      <t>⑨=⑤+⑦-⑧</t>
    </r>
  </si>
  <si>
    <r>
      <rPr>
        <sz val="10"/>
        <rFont val="宋体"/>
        <charset val="134"/>
      </rPr>
      <t>报表日账面汇率</t>
    </r>
  </si>
  <si>
    <r>
      <rPr>
        <sz val="10"/>
        <rFont val="宋体"/>
        <charset val="134"/>
      </rPr>
      <t>⑩</t>
    </r>
  </si>
  <si>
    <r>
      <rPr>
        <sz val="10"/>
        <rFont val="宋体"/>
        <charset val="134"/>
      </rPr>
      <t>报表日余额折合本位币金额</t>
    </r>
  </si>
  <si>
    <t>⑾=⑨*⑩</t>
  </si>
  <si>
    <r>
      <rPr>
        <sz val="10"/>
        <rFont val="宋体"/>
        <charset val="134"/>
      </rPr>
      <t>本位币合计</t>
    </r>
  </si>
  <si>
    <r>
      <rPr>
        <sz val="10"/>
        <rFont val="宋体"/>
        <charset val="134"/>
      </rPr>
      <t>合计</t>
    </r>
  </si>
  <si>
    <t>1、本底稿需打印，并由相关人员签字确认（可直接索引至纸质底稿）；</t>
  </si>
  <si>
    <r>
      <rPr>
        <sz val="10"/>
        <color indexed="12"/>
        <rFont val="Arial Narrow"/>
        <charset val="134"/>
      </rPr>
      <t>2</t>
    </r>
    <r>
      <rPr>
        <sz val="10"/>
        <color indexed="12"/>
        <rFont val="宋体"/>
        <charset val="134"/>
      </rPr>
      <t>、表中的</t>
    </r>
    <r>
      <rPr>
        <sz val="10"/>
        <color indexed="12"/>
        <rFont val="Arial Narrow"/>
        <charset val="134"/>
      </rPr>
      <t>“</t>
    </r>
    <r>
      <rPr>
        <sz val="10"/>
        <color indexed="12"/>
        <rFont val="宋体"/>
        <charset val="134"/>
      </rPr>
      <t>未记账传票收入、支出金额</t>
    </r>
    <r>
      <rPr>
        <sz val="10"/>
        <color indexed="12"/>
        <rFont val="Arial Narrow"/>
        <charset val="134"/>
      </rPr>
      <t>”</t>
    </r>
    <r>
      <rPr>
        <sz val="10"/>
        <color indexed="12"/>
        <rFont val="宋体"/>
        <charset val="134"/>
      </rPr>
      <t>应按盘点日尚未记账的现金收入和支出的金额进行填列；</t>
    </r>
  </si>
  <si>
    <r>
      <rPr>
        <sz val="10"/>
        <color indexed="12"/>
        <rFont val="Arial Narrow"/>
        <charset val="134"/>
      </rPr>
      <t>3</t>
    </r>
    <r>
      <rPr>
        <sz val="10"/>
        <color indexed="12"/>
        <rFont val="宋体"/>
        <charset val="134"/>
      </rPr>
      <t>、本表中的</t>
    </r>
    <r>
      <rPr>
        <sz val="10"/>
        <color indexed="12"/>
        <rFont val="Arial Narrow"/>
        <charset val="134"/>
      </rPr>
      <t>“</t>
    </r>
    <r>
      <rPr>
        <sz val="10"/>
        <color indexed="12"/>
        <rFont val="宋体"/>
        <charset val="134"/>
      </rPr>
      <t>实点金额</t>
    </r>
    <r>
      <rPr>
        <sz val="10"/>
        <color indexed="12"/>
        <rFont val="Arial Narrow"/>
        <charset val="134"/>
      </rPr>
      <t>”</t>
    </r>
    <r>
      <rPr>
        <sz val="10"/>
        <color indexed="12"/>
        <rFont val="宋体"/>
        <charset val="134"/>
      </rPr>
      <t>按</t>
    </r>
    <r>
      <rPr>
        <sz val="10"/>
        <color indexed="12"/>
        <rFont val="Arial Narrow"/>
        <charset val="134"/>
      </rPr>
      <t>“</t>
    </r>
    <r>
      <rPr>
        <sz val="10"/>
        <color indexed="12"/>
        <rFont val="宋体"/>
        <charset val="134"/>
      </rPr>
      <t>清点现金</t>
    </r>
    <r>
      <rPr>
        <sz val="10"/>
        <color indexed="12"/>
        <rFont val="Arial Narrow"/>
        <charset val="134"/>
      </rPr>
      <t>”</t>
    </r>
    <r>
      <rPr>
        <sz val="10"/>
        <color indexed="12"/>
        <rFont val="宋体"/>
        <charset val="134"/>
      </rPr>
      <t>的合计数填列；</t>
    </r>
  </si>
  <si>
    <r>
      <rPr>
        <sz val="10"/>
        <color indexed="12"/>
        <rFont val="Arial Narrow"/>
        <charset val="134"/>
      </rPr>
      <t>4</t>
    </r>
    <r>
      <rPr>
        <sz val="10"/>
        <color indexed="12"/>
        <rFont val="宋体"/>
        <charset val="134"/>
      </rPr>
      <t>、本表中的</t>
    </r>
    <r>
      <rPr>
        <sz val="10"/>
        <color indexed="12"/>
        <rFont val="Arial Narrow"/>
        <charset val="134"/>
      </rPr>
      <t>“</t>
    </r>
    <r>
      <rPr>
        <sz val="10"/>
        <color indexed="12"/>
        <rFont val="宋体"/>
        <charset val="134"/>
      </rPr>
      <t>审计截止日至现金盘点日的支出和收入，按实际支出和收入的现金金额填列；</t>
    </r>
  </si>
  <si>
    <r>
      <rPr>
        <sz val="10"/>
        <color indexed="12"/>
        <rFont val="Arial Narrow"/>
        <charset val="134"/>
      </rPr>
      <t>5</t>
    </r>
    <r>
      <rPr>
        <sz val="10"/>
        <color indexed="12"/>
        <rFont val="宋体"/>
        <charset val="134"/>
      </rPr>
      <t>、本表中的</t>
    </r>
    <r>
      <rPr>
        <sz val="10"/>
        <color indexed="12"/>
        <rFont val="Arial Narrow"/>
        <charset val="134"/>
      </rPr>
      <t>“</t>
    </r>
    <r>
      <rPr>
        <sz val="10"/>
        <color indexed="12"/>
        <rFont val="宋体"/>
        <charset val="134"/>
      </rPr>
      <t>差异</t>
    </r>
    <r>
      <rPr>
        <sz val="10"/>
        <color indexed="12"/>
        <rFont val="Arial Narrow"/>
        <charset val="134"/>
      </rPr>
      <t>”</t>
    </r>
    <r>
      <rPr>
        <sz val="10"/>
        <color indexed="12"/>
        <rFont val="宋体"/>
        <charset val="134"/>
      </rPr>
      <t>按审计截止日账面应结存金额与审计截止日账面余额的差异填列；</t>
    </r>
  </si>
  <si>
    <r>
      <rPr>
        <sz val="10"/>
        <color indexed="12"/>
        <rFont val="Arial Narrow"/>
        <charset val="134"/>
      </rPr>
      <t>6</t>
    </r>
    <r>
      <rPr>
        <sz val="10"/>
        <color indexed="12"/>
        <rFont val="宋体"/>
        <charset val="134"/>
      </rPr>
      <t>、</t>
    </r>
    <r>
      <rPr>
        <sz val="10"/>
        <color indexed="12"/>
        <rFont val="Arial Narrow"/>
        <charset val="134"/>
      </rPr>
      <t xml:space="preserve"> </t>
    </r>
    <r>
      <rPr>
        <sz val="10"/>
        <color indexed="12"/>
        <rFont val="宋体"/>
        <charset val="134"/>
      </rPr>
      <t>如有外币可按本表格式另行填列，并测算折算本位币的正确性。</t>
    </r>
  </si>
  <si>
    <t>开户清单列示信息</t>
  </si>
  <si>
    <t>账面银行账户</t>
  </si>
  <si>
    <t>两者是否一致</t>
  </si>
  <si>
    <t>账号</t>
  </si>
  <si>
    <r>
      <rPr>
        <sz val="9"/>
        <color indexed="8"/>
        <rFont val="宋体"/>
        <charset val="134"/>
      </rPr>
      <t>开户时间</t>
    </r>
  </si>
  <si>
    <r>
      <rPr>
        <sz val="9"/>
        <color indexed="8"/>
        <rFont val="宋体"/>
        <charset val="134"/>
      </rPr>
      <t>销户日期</t>
    </r>
  </si>
  <si>
    <t>目前状态</t>
  </si>
  <si>
    <t>中国工商银行股份有限公司广州宝华支行</t>
  </si>
  <si>
    <t>3602010909000402225</t>
  </si>
  <si>
    <t>2005年05月18日</t>
  </si>
  <si>
    <t>2014年12月02日</t>
  </si>
  <si>
    <t>撤销</t>
  </si>
  <si>
    <t>招商银行股份有限公司广州东风支行</t>
  </si>
  <si>
    <t>20098108011000</t>
  </si>
  <si>
    <t>2005年07月18日</t>
  </si>
  <si>
    <t>2015年03月31日</t>
  </si>
  <si>
    <t>中国工商银行股份有限公司广州大德路支行</t>
  </si>
  <si>
    <t>2014年10月11日</t>
  </si>
  <si>
    <t>正常</t>
  </si>
  <si>
    <r>
      <rPr>
        <sz val="9"/>
        <color rgb="FF000000"/>
        <rFont val="宋体"/>
        <charset val="134"/>
      </rPr>
      <t>工行广州市大德路支行</t>
    </r>
    <r>
      <rPr>
        <sz val="9"/>
        <color rgb="FF000000"/>
        <rFont val="Arial"/>
        <charset val="134"/>
      </rPr>
      <t>4206</t>
    </r>
  </si>
  <si>
    <t>中国建设银行股份有限公司广州大德路支行</t>
  </si>
  <si>
    <t>2014年12月25日</t>
  </si>
  <si>
    <r>
      <rPr>
        <sz val="9"/>
        <color rgb="FF000000"/>
        <rFont val="宋体"/>
        <charset val="134"/>
      </rPr>
      <t>建行广州大德路支行</t>
    </r>
    <r>
      <rPr>
        <sz val="9"/>
        <color rgb="FF000000"/>
        <rFont val="Arial"/>
        <charset val="134"/>
      </rPr>
      <t>3210</t>
    </r>
  </si>
  <si>
    <r>
      <rPr>
        <sz val="10"/>
        <rFont val="Arial"/>
        <charset val="134"/>
      </rPr>
      <t>1</t>
    </r>
    <r>
      <rPr>
        <sz val="10"/>
        <rFont val="宋体"/>
        <charset val="134"/>
      </rPr>
      <t>、说明开户清单有但账面未记录的原因：</t>
    </r>
  </si>
  <si>
    <r>
      <rPr>
        <sz val="10"/>
        <rFont val="Arial"/>
        <charset val="134"/>
      </rPr>
      <t>2</t>
    </r>
    <r>
      <rPr>
        <sz val="10"/>
        <rFont val="宋体"/>
        <charset val="134"/>
      </rPr>
      <t>、说明账面有记录但开户清单无的原因：</t>
    </r>
  </si>
  <si>
    <t>针对外币账户我们已向负责保管网银密钥（U key）的出纳获取被审计单位开通网银的账户清单，实地观察出纳登录被审计单位网银系统，查阅相关银行开立的所有银行账户清单，与被审计单位提供的开户台账信息进行比较。</t>
  </si>
  <si>
    <t>开户行</t>
  </si>
  <si>
    <t>账面期末余额</t>
  </si>
  <si>
    <t>网银记录余额</t>
  </si>
  <si>
    <t>差异</t>
  </si>
  <si>
    <t>账面记录是否受限</t>
  </si>
  <si>
    <t>网银记录是否受限</t>
  </si>
  <si>
    <t>账面记录与网银记录是否一致</t>
  </si>
  <si>
    <t>现场查看网银记录截图索引</t>
  </si>
  <si>
    <t>针对账户不在《已开立银行结算账户清单》上列示或无法获取纸质对账单的情况，项目组采取以下措施核实外币账户的完整性：向负责保管网银密钥（U key）的出纳获取被审计单位开通网银的账户清单，实地观察出纳登录被审计单位网银系统，查阅相关银行开立的所有银行账户清单，与被审计单位提供的开户台账信息进行比较，核实网银记录的金额和账面是否一致。</t>
  </si>
  <si>
    <t>被审计单位：ABC公司  会计期间：2024-1-1至2024-12-31  截止日期：2024-12-31  编制人：DDD2025-1-23  复核人：EEE2025-2-10</t>
  </si>
  <si>
    <t>一、测试目的</t>
  </si>
  <si>
    <t>确定货币资金期末截止性是否正确；是否存在大额跨期项目。</t>
  </si>
  <si>
    <t>二、测试步骤</t>
  </si>
  <si>
    <r>
      <rPr>
        <sz val="10"/>
        <rFont val="宋体"/>
        <charset val="134"/>
      </rPr>
      <t>选择资产负债表日前后15天大额非银行间转账的银行收支业务执行截止测试</t>
    </r>
    <r>
      <rPr>
        <sz val="10"/>
        <color rgb="FF0000FF"/>
        <rFont val="宋体"/>
        <charset val="134"/>
      </rPr>
      <t>（提示：一般情况下截止测试统一选择前后15天的凭证进行测试，如果前后15天凭证金额均偏小，或者在测试过程已发现有跨期现象，可修改为选择前后30天的凭证记录进行测试，请根据样本情况修改日期）</t>
    </r>
  </si>
  <si>
    <t>三、测试结果</t>
  </si>
  <si>
    <t>经测试，未见跨期入账现象。</t>
  </si>
  <si>
    <r>
      <rPr>
        <sz val="10"/>
        <rFont val="宋体"/>
        <charset val="134"/>
      </rPr>
      <t>日期</t>
    </r>
  </si>
  <si>
    <r>
      <rPr>
        <sz val="10"/>
        <rFont val="宋体"/>
        <charset val="134"/>
      </rPr>
      <t>凭证号</t>
    </r>
  </si>
  <si>
    <r>
      <rPr>
        <sz val="10"/>
        <rFont val="宋体"/>
        <charset val="134"/>
      </rPr>
      <t>内容</t>
    </r>
  </si>
  <si>
    <r>
      <rPr>
        <sz val="10"/>
        <rFont val="宋体"/>
        <charset val="134"/>
      </rPr>
      <t>对应科目</t>
    </r>
  </si>
  <si>
    <r>
      <rPr>
        <sz val="10"/>
        <rFont val="宋体"/>
        <charset val="134"/>
      </rPr>
      <t>是否跨期</t>
    </r>
  </si>
  <si>
    <r>
      <rPr>
        <sz val="10"/>
        <rFont val="宋体"/>
        <charset val="134"/>
      </rPr>
      <t>是（√）否（</t>
    </r>
    <r>
      <rPr>
        <sz val="10"/>
        <rFont val="Arial Narrow"/>
        <charset val="134"/>
      </rPr>
      <t>×</t>
    </r>
    <r>
      <rPr>
        <sz val="10"/>
        <rFont val="宋体"/>
        <charset val="134"/>
      </rPr>
      <t>）</t>
    </r>
  </si>
  <si>
    <r>
      <t>ABC</t>
    </r>
    <r>
      <rPr>
        <sz val="10"/>
        <rFont val="宋体"/>
        <charset val="134"/>
      </rPr>
      <t>公司</t>
    </r>
  </si>
  <si>
    <t>2024-12-24</t>
  </si>
  <si>
    <t>2024-12记-0003</t>
  </si>
  <si>
    <t>支付ABC公司2024年财产险保险年费</t>
  </si>
  <si>
    <t>银行存款\建设银行</t>
  </si>
  <si>
    <t>截止日前</t>
  </si>
  <si>
    <t>---------------------------------------------------------------</t>
  </si>
  <si>
    <r>
      <rPr>
        <sz val="10"/>
        <rFont val="宋体"/>
        <charset val="134"/>
      </rPr>
      <t>截止日期：</t>
    </r>
    <r>
      <rPr>
        <sz val="10"/>
        <rFont val="Arial Narrow"/>
        <charset val="134"/>
      </rPr>
      <t xml:space="preserve">2024 </t>
    </r>
    <r>
      <rPr>
        <sz val="10"/>
        <rFont val="宋体"/>
        <charset val="134"/>
      </rPr>
      <t>年</t>
    </r>
    <r>
      <rPr>
        <sz val="10"/>
        <rFont val="Arial Narrow"/>
        <charset val="134"/>
      </rPr>
      <t xml:space="preserve"> 12 </t>
    </r>
    <r>
      <rPr>
        <sz val="10"/>
        <rFont val="宋体"/>
        <charset val="134"/>
      </rPr>
      <t>月</t>
    </r>
    <r>
      <rPr>
        <sz val="10"/>
        <rFont val="Arial Narrow"/>
        <charset val="134"/>
      </rPr>
      <t xml:space="preserve">31 </t>
    </r>
    <r>
      <rPr>
        <sz val="10"/>
        <rFont val="宋体"/>
        <charset val="134"/>
      </rPr>
      <t>日</t>
    </r>
  </si>
  <si>
    <t>--------------------------------------------------------------------</t>
  </si>
  <si>
    <t>截止日后</t>
  </si>
  <si>
    <t>开户行名称</t>
  </si>
  <si>
    <t>本期账面余额</t>
  </si>
  <si>
    <r>
      <rPr>
        <sz val="10"/>
        <rFont val="宋体"/>
        <charset val="134"/>
      </rPr>
      <t>加：银行已收</t>
    </r>
    <r>
      <rPr>
        <sz val="10"/>
        <rFont val="Times New Roman"/>
        <charset val="134"/>
      </rPr>
      <t xml:space="preserve"> </t>
    </r>
    <r>
      <rPr>
        <sz val="10"/>
        <rFont val="宋体"/>
        <charset val="134"/>
      </rPr>
      <t>企业未收</t>
    </r>
  </si>
  <si>
    <r>
      <rPr>
        <sz val="10"/>
        <rFont val="宋体"/>
        <charset val="134"/>
      </rPr>
      <t>减：银行已付</t>
    </r>
    <r>
      <rPr>
        <sz val="10"/>
        <rFont val="Times New Roman"/>
        <charset val="134"/>
      </rPr>
      <t xml:space="preserve"> </t>
    </r>
    <r>
      <rPr>
        <sz val="10"/>
        <rFont val="宋体"/>
        <charset val="134"/>
      </rPr>
      <t>企业未付</t>
    </r>
  </si>
  <si>
    <r>
      <rPr>
        <sz val="10"/>
        <rFont val="宋体"/>
        <charset val="134"/>
      </rPr>
      <t>加：企业已付</t>
    </r>
    <r>
      <rPr>
        <sz val="10"/>
        <rFont val="Times New Roman"/>
        <charset val="134"/>
      </rPr>
      <t xml:space="preserve"> </t>
    </r>
    <r>
      <rPr>
        <sz val="10"/>
        <rFont val="宋体"/>
        <charset val="134"/>
      </rPr>
      <t>银行未付</t>
    </r>
  </si>
  <si>
    <r>
      <rPr>
        <sz val="10"/>
        <rFont val="宋体"/>
        <charset val="134"/>
      </rPr>
      <t>减：企业已收</t>
    </r>
    <r>
      <rPr>
        <sz val="10"/>
        <rFont val="Times New Roman"/>
        <charset val="134"/>
      </rPr>
      <t xml:space="preserve"> </t>
    </r>
    <r>
      <rPr>
        <sz val="10"/>
        <rFont val="宋体"/>
        <charset val="134"/>
      </rPr>
      <t>银行未收</t>
    </r>
  </si>
  <si>
    <t>本期账面余额对账单余额</t>
  </si>
  <si>
    <t>对账单&amp;未达账项余额调节表索引</t>
  </si>
  <si>
    <t>银行存款合计</t>
  </si>
  <si>
    <t>其他货币资金合计</t>
  </si>
  <si>
    <r>
      <rPr>
        <b/>
        <sz val="9"/>
        <color rgb="FF000000"/>
        <rFont val="宋体"/>
        <charset val="134"/>
      </rPr>
      <t>审计说明：</t>
    </r>
  </si>
  <si>
    <t>经审计，各开户银行银行存款账面余额与银行对账单余额一致。</t>
  </si>
  <si>
    <r>
      <rPr>
        <sz val="10"/>
        <rFont val="宋体"/>
        <charset val="134"/>
      </rPr>
      <t>开户银行</t>
    </r>
  </si>
  <si>
    <r>
      <rPr>
        <sz val="10"/>
        <rFont val="宋体"/>
        <charset val="134"/>
      </rPr>
      <t>账号</t>
    </r>
  </si>
  <si>
    <r>
      <rPr>
        <sz val="10"/>
        <rFont val="宋体"/>
        <charset val="134"/>
      </rPr>
      <t>币种</t>
    </r>
  </si>
  <si>
    <t>转存标识</t>
  </si>
  <si>
    <t>能否转让</t>
  </si>
  <si>
    <t>能否提前支取</t>
  </si>
  <si>
    <t>能否提前赎回</t>
  </si>
  <si>
    <t>存入日期</t>
  </si>
  <si>
    <t>到期日</t>
  </si>
  <si>
    <r>
      <rPr>
        <sz val="10"/>
        <rFont val="宋体"/>
        <charset val="134"/>
      </rPr>
      <t>存期</t>
    </r>
    <r>
      <rPr>
        <sz val="10"/>
        <rFont val="Arial Narrow"/>
        <charset val="134"/>
      </rPr>
      <t>/</t>
    </r>
    <r>
      <rPr>
        <sz val="10"/>
        <rFont val="宋体"/>
        <charset val="134"/>
      </rPr>
      <t>期限</t>
    </r>
  </si>
  <si>
    <r>
      <rPr>
        <sz val="10"/>
        <rFont val="宋体"/>
        <charset val="134"/>
      </rPr>
      <t>年利率</t>
    </r>
  </si>
  <si>
    <t>年末存单金额</t>
  </si>
  <si>
    <r>
      <rPr>
        <sz val="10"/>
        <rFont val="宋体"/>
        <charset val="134"/>
      </rPr>
      <t>年末账面余额</t>
    </r>
  </si>
  <si>
    <r>
      <rPr>
        <sz val="10"/>
        <rFont val="宋体"/>
        <charset val="134"/>
      </rPr>
      <t>利息收入</t>
    </r>
  </si>
  <si>
    <t>是否查见原件（√）</t>
  </si>
  <si>
    <r>
      <rPr>
        <sz val="10"/>
        <rFont val="宋体"/>
        <charset val="134"/>
      </rPr>
      <t>是否质押</t>
    </r>
    <r>
      <rPr>
        <sz val="10"/>
        <rFont val="Arial Narrow"/>
        <charset val="134"/>
      </rPr>
      <t xml:space="preserve">
</t>
    </r>
    <r>
      <rPr>
        <sz val="10"/>
        <rFont val="宋体"/>
        <charset val="134"/>
      </rPr>
      <t>（√）</t>
    </r>
  </si>
  <si>
    <r>
      <rPr>
        <sz val="10"/>
        <rFont val="宋体"/>
        <charset val="134"/>
      </rPr>
      <t>索引</t>
    </r>
  </si>
  <si>
    <r>
      <rPr>
        <sz val="10"/>
        <rFont val="宋体"/>
        <charset val="134"/>
      </rPr>
      <t>备注</t>
    </r>
  </si>
  <si>
    <t>1.定期存款</t>
  </si>
  <si>
    <t>/</t>
  </si>
  <si>
    <t>2.大额存单</t>
  </si>
  <si>
    <r>
      <rPr>
        <sz val="10"/>
        <rFont val="宋体"/>
        <charset val="134"/>
      </rPr>
      <t>合</t>
    </r>
    <r>
      <rPr>
        <sz val="10"/>
        <rFont val="Arial Narrow"/>
        <charset val="134"/>
      </rPr>
      <t xml:space="preserve">     </t>
    </r>
    <r>
      <rPr>
        <sz val="10"/>
        <rFont val="宋体"/>
        <charset val="134"/>
      </rPr>
      <t>计</t>
    </r>
  </si>
  <si>
    <r>
      <rPr>
        <b/>
        <sz val="10"/>
        <rFont val="宋体"/>
        <charset val="134"/>
      </rPr>
      <t>审计说明：</t>
    </r>
  </si>
  <si>
    <t>1、逐项说明各存单的存款期限及其质押、担保或其他限制情况，有无存在提前支取情况：……</t>
  </si>
  <si>
    <r>
      <rPr>
        <sz val="10"/>
        <rFont val="Arial Narrow"/>
        <charset val="134"/>
      </rPr>
      <t>2</t>
    </r>
    <r>
      <rPr>
        <sz val="10"/>
        <rFont val="宋体"/>
        <charset val="134"/>
      </rPr>
      <t>、若部分存单已函证，请说明函证情况索引至函证汇总底稿。</t>
    </r>
  </si>
  <si>
    <t>3、请对大额存单是否属于“现金等价物”作出判断：</t>
  </si>
  <si>
    <r>
      <rPr>
        <sz val="10"/>
        <color indexed="12"/>
        <rFont val="宋体"/>
        <charset val="134"/>
      </rPr>
      <t>编制说明：</t>
    </r>
  </si>
  <si>
    <r>
      <rPr>
        <sz val="10"/>
        <color indexed="12"/>
        <rFont val="Arial Narrow"/>
        <charset val="134"/>
      </rPr>
      <t>1</t>
    </r>
    <r>
      <rPr>
        <sz val="10"/>
        <color indexed="12"/>
        <rFont val="宋体"/>
        <charset val="134"/>
      </rPr>
      <t>、本表格主要可用于检查被审计单位账面金额、是否被质押或限制使用，存单是否为被审计单位所拥有程序。</t>
    </r>
  </si>
  <si>
    <r>
      <rPr>
        <sz val="10"/>
        <color indexed="12"/>
        <rFont val="Arial Narrow"/>
        <charset val="134"/>
      </rPr>
      <t>2</t>
    </r>
    <r>
      <rPr>
        <sz val="10"/>
        <color indexed="12"/>
        <rFont val="宋体"/>
        <charset val="134"/>
      </rPr>
      <t>、由于活期存款一般金额较小，此表测算的定期存款利息收入也用于检查存款利息收入的整体合理性。</t>
    </r>
  </si>
  <si>
    <t>受限资金种类</t>
  </si>
  <si>
    <r>
      <rPr>
        <sz val="10"/>
        <rFont val="宋体"/>
        <charset val="134"/>
      </rPr>
      <t>原币</t>
    </r>
  </si>
  <si>
    <r>
      <rPr>
        <sz val="10"/>
        <rFont val="宋体"/>
        <charset val="134"/>
      </rPr>
      <t>汇率</t>
    </r>
  </si>
  <si>
    <r>
      <rPr>
        <sz val="10"/>
        <rFont val="宋体"/>
        <charset val="134"/>
      </rPr>
      <t>本位币金额</t>
    </r>
  </si>
  <si>
    <r>
      <rPr>
        <sz val="10"/>
        <rFont val="宋体"/>
        <charset val="134"/>
      </rPr>
      <t>受限原因</t>
    </r>
  </si>
  <si>
    <t>银行承兑汇票保证金</t>
  </si>
  <si>
    <t>信用证保证金</t>
  </si>
  <si>
    <t>履约保证金</t>
  </si>
  <si>
    <t>用于担保的定期存款或通知存款</t>
  </si>
  <si>
    <t>放在境外且资金汇回受到限制的款项</t>
  </si>
  <si>
    <t>技术支持和风控部：请保留此行为空白行且勿删除</t>
  </si>
  <si>
    <t>合 计</t>
  </si>
  <si>
    <r>
      <rPr>
        <sz val="10"/>
        <color indexed="12"/>
        <rFont val="Arial Narrow"/>
        <charset val="134"/>
      </rPr>
      <t>1</t>
    </r>
    <r>
      <rPr>
        <sz val="10"/>
        <color indexed="12"/>
        <rFont val="宋体"/>
        <charset val="134"/>
      </rPr>
      <t>、本表格主要可用于使用受限的保证金对现金流量表影响的审计程序。</t>
    </r>
  </si>
  <si>
    <r>
      <rPr>
        <sz val="10"/>
        <color indexed="12"/>
        <rFont val="Arial Narrow"/>
        <charset val="134"/>
      </rPr>
      <t>2</t>
    </r>
    <r>
      <rPr>
        <sz val="10"/>
        <color indexed="12"/>
        <rFont val="宋体"/>
        <charset val="134"/>
      </rPr>
      <t>、受限资金主要包括定期存款、保证金等。</t>
    </r>
  </si>
  <si>
    <r>
      <rPr>
        <sz val="10"/>
        <rFont val="宋体"/>
        <charset val="134"/>
      </rPr>
      <t>账面本位币余额</t>
    </r>
  </si>
  <si>
    <r>
      <rPr>
        <sz val="10"/>
        <rFont val="宋体"/>
        <charset val="134"/>
      </rPr>
      <t>外币余额</t>
    </r>
  </si>
  <si>
    <r>
      <rPr>
        <sz val="10"/>
        <rFont val="宋体"/>
        <charset val="134"/>
      </rPr>
      <t>折算汇率</t>
    </r>
  </si>
  <si>
    <r>
      <rPr>
        <sz val="10"/>
        <rFont val="宋体"/>
        <charset val="134"/>
      </rPr>
      <t>测算本位币余额</t>
    </r>
  </si>
  <si>
    <r>
      <rPr>
        <sz val="10"/>
        <rFont val="宋体"/>
        <charset val="134"/>
      </rPr>
      <t>差异</t>
    </r>
  </si>
  <si>
    <r>
      <rPr>
        <sz val="10"/>
        <color indexed="12"/>
        <rFont val="宋体"/>
        <charset val="134"/>
      </rPr>
      <t>本表格主要可用于检查非记账本位币库存现金、银行存款、其他货币资金的折算汇率及折算金额是否正确程序：</t>
    </r>
  </si>
  <si>
    <r>
      <rPr>
        <b/>
        <sz val="10"/>
        <rFont val="Arial Narrow"/>
        <charset val="134"/>
      </rPr>
      <t>1</t>
    </r>
    <r>
      <rPr>
        <b/>
        <sz val="10"/>
        <rFont val="宋体"/>
        <charset val="134"/>
      </rPr>
      <t>、由日记账查询至对账单</t>
    </r>
  </si>
  <si>
    <t>记账日期</t>
  </si>
  <si>
    <t>凭证号</t>
  </si>
  <si>
    <t>摘要</t>
  </si>
  <si>
    <t>银行存款日记账金额</t>
  </si>
  <si>
    <t>银行对账单日期</t>
  </si>
  <si>
    <t>交易对手</t>
  </si>
  <si>
    <t>银行对账单金额</t>
  </si>
  <si>
    <t>差额</t>
  </si>
  <si>
    <t>对账单索引</t>
  </si>
  <si>
    <t>收款记录与银行对账单核对</t>
  </si>
  <si>
    <t>2024-01-09</t>
  </si>
  <si>
    <t>2024-01记-0003</t>
  </si>
  <si>
    <t>收到2022年12月8号钢力总厂（2022）粤01强清125号强制清算费用退款</t>
  </si>
  <si>
    <t>广州金属制品供应贸公司清算组</t>
  </si>
  <si>
    <t>2024-01-11</t>
  </si>
  <si>
    <t>2024-01记-0004</t>
  </si>
  <si>
    <t>收到建设银行下拨款</t>
  </si>
  <si>
    <t>广州工业投资控股有限公司</t>
  </si>
  <si>
    <t>2024-09-11</t>
  </si>
  <si>
    <t>2024-09记-0001</t>
  </si>
  <si>
    <t>收松岗分厂往来款</t>
  </si>
  <si>
    <t>广州钢力金属制品总厂有限公司松岗分厂</t>
  </si>
  <si>
    <t>2024-10-10</t>
  </si>
  <si>
    <t>2024-10记-0005</t>
  </si>
  <si>
    <t>广州工业投资控股集团有限公司</t>
  </si>
  <si>
    <t>2024-10-14</t>
  </si>
  <si>
    <t>2024-10记-0006</t>
  </si>
  <si>
    <t>收工控资产2023年租金</t>
  </si>
  <si>
    <t>付款记录与银行对账单核对</t>
  </si>
  <si>
    <t>2024-01-15</t>
  </si>
  <si>
    <t>2024-01记-0009</t>
  </si>
  <si>
    <t>支付松岗分厂往来款</t>
  </si>
  <si>
    <t>2024-04-11</t>
  </si>
  <si>
    <t>2024-04记-0004</t>
  </si>
  <si>
    <t>2024-04记-0006</t>
  </si>
  <si>
    <t>缴纳2024年第一季度从租计征房产税</t>
  </si>
  <si>
    <t>待报解预算收入（财库联网集中户）</t>
  </si>
  <si>
    <t>2024-07-12</t>
  </si>
  <si>
    <t>2024-07记-0004</t>
  </si>
  <si>
    <t>2024-10-15</t>
  </si>
  <si>
    <t>2024-10记-0008</t>
  </si>
  <si>
    <t>缴纳2024年第三季度增值税及附加税</t>
  </si>
  <si>
    <r>
      <rPr>
        <b/>
        <sz val="10"/>
        <rFont val="Arial Narrow"/>
        <charset val="134"/>
      </rPr>
      <t>2</t>
    </r>
    <r>
      <rPr>
        <b/>
        <sz val="10"/>
        <rFont val="宋体"/>
        <charset val="134"/>
      </rPr>
      <t>、由对账单查询至日记账</t>
    </r>
  </si>
  <si>
    <t>2024-04记-0003</t>
  </si>
  <si>
    <t>2024-07记-0002</t>
  </si>
  <si>
    <t>2024-09-12</t>
  </si>
  <si>
    <t>2024-09记-0003</t>
  </si>
  <si>
    <t>付离休老干遗孀冯焕好2024年第3季度生活补贴</t>
  </si>
  <si>
    <t>冯焕好</t>
  </si>
  <si>
    <t>2024-10-18</t>
  </si>
  <si>
    <t>2024-10记-0016</t>
  </si>
  <si>
    <t>建行归集款</t>
  </si>
  <si>
    <t>2024-04记-0005</t>
  </si>
  <si>
    <t>缴纳2024年第一季度增值税及附加税</t>
  </si>
  <si>
    <t>2024-05-27</t>
  </si>
  <si>
    <t>2024-05记-0005</t>
  </si>
  <si>
    <t>慰问离退休干部马永嘉</t>
  </si>
  <si>
    <t>张意</t>
  </si>
  <si>
    <t>2024-05记-0007</t>
  </si>
  <si>
    <t>支付离休老干马永嘉同志花圈费租车费及慰问金</t>
  </si>
  <si>
    <t>2024-07-15</t>
  </si>
  <si>
    <t>2024-07记-0005</t>
  </si>
  <si>
    <t>缴纳2024年第二季度从租计征房产税</t>
  </si>
  <si>
    <t>2024-10记-0014</t>
  </si>
  <si>
    <t>缴纳2024年从价计征房产税</t>
  </si>
  <si>
    <t>经抽样核对，日记账收付记录与银行对账单列示交易记录的交易事项、金额一致，日期一致或相近。</t>
  </si>
  <si>
    <r>
      <rPr>
        <sz val="10"/>
        <color indexed="12"/>
        <rFont val="Arial Narrow"/>
        <charset val="134"/>
      </rPr>
      <t>1</t>
    </r>
    <r>
      <rPr>
        <sz val="10"/>
        <color indexed="12"/>
        <rFont val="宋体"/>
        <charset val="134"/>
      </rPr>
      <t>、在银行日记账中抽取一定样本量的大额发生额与银行对账单核对，检查银行存款记录完整性；</t>
    </r>
  </si>
  <si>
    <r>
      <rPr>
        <sz val="10"/>
        <color indexed="12"/>
        <rFont val="Arial Narrow"/>
        <charset val="134"/>
      </rPr>
      <t>2</t>
    </r>
    <r>
      <rPr>
        <sz val="10"/>
        <color indexed="12"/>
        <rFont val="宋体"/>
        <charset val="134"/>
      </rPr>
      <t>、在银行对账单中抽取一定样本量的大额发生额与银行日记账核对，检查银行存款记录真实性。</t>
    </r>
  </si>
  <si>
    <t>凭证编号</t>
  </si>
  <si>
    <t>业务内容</t>
  </si>
  <si>
    <t>会计科目</t>
  </si>
  <si>
    <t>借方金额</t>
  </si>
  <si>
    <t>贷方金额</t>
  </si>
  <si>
    <r>
      <rPr>
        <sz val="10"/>
        <rFont val="宋体"/>
        <charset val="134"/>
      </rPr>
      <t>核对内容
（用“√”、“</t>
    </r>
    <r>
      <rPr>
        <sz val="10"/>
        <rFont val="Times New Roman"/>
        <charset val="134"/>
      </rPr>
      <t>×</t>
    </r>
    <r>
      <rPr>
        <sz val="10"/>
        <rFont val="宋体"/>
        <charset val="134"/>
      </rPr>
      <t>”</t>
    </r>
    <r>
      <rPr>
        <sz val="10"/>
        <rFont val="宋体"/>
        <charset val="134"/>
      </rPr>
      <t>表示）</t>
    </r>
  </si>
  <si>
    <t>附件</t>
  </si>
  <si>
    <t>2024-04-12</t>
  </si>
  <si>
    <t>2024-04记-0008</t>
  </si>
  <si>
    <t>2024-08-27</t>
  </si>
  <si>
    <t>2024-08记-0007</t>
  </si>
  <si>
    <t>2024-09记-0002</t>
  </si>
  <si>
    <t>收离休老干遗孀冯焕好2024年第3季度生活补贴</t>
  </si>
  <si>
    <t>银行存款\工商银行</t>
  </si>
  <si>
    <t>核对内容说明：</t>
  </si>
  <si>
    <t>收入检查：1、银行收款凭证与银行对账单核对相符；2、收款凭证与销售发票、收据核对相符；3、收款凭证的对应科目与付款单位的户名一致；4、收款凭证账务处理正确；5、收款凭证与对应科目(销售或应收账款)明细账的记录一致，所收款项与经营活动相关。……</t>
  </si>
  <si>
    <t>支出检查：1、付款的授权审批手续齐全、签章完整；2、原始凭证具有合法的发票或依据；3、原始凭证的内容和金额与付款凭证摘要核对一致；4、付款凭证与银行对账单核对相符；5、付款凭证与对应科目（如应付账款）明细账的记录一致，付款凭证账务处理正确。……</t>
  </si>
  <si>
    <t>注：当企业规模和业务量较大时，可分库存现金、银行存款、其他货币资金科目分别使用该表，应注意修改索引号。</t>
  </si>
  <si>
    <t>经抽查凭证，原始凭证齐全、与记账凭证相符、账务处理正确、记录于恰当的会计期间。</t>
  </si>
  <si>
    <r>
      <rPr>
        <sz val="10"/>
        <rFont val="宋体"/>
        <charset val="134"/>
      </rPr>
      <t>审计说明：</t>
    </r>
  </si>
  <si>
    <t>转至货币资金函证程序工作底稿</t>
  </si>
  <si>
    <t>报表项目</t>
  </si>
  <si>
    <t>一级科目</t>
  </si>
  <si>
    <t>存货——原材料</t>
  </si>
  <si>
    <t>应付福利费——#职工奖励及福利基金</t>
  </si>
  <si>
    <t>存货——库存商品（产成品）</t>
  </si>
  <si>
    <t>其他非流动资产——特准储备物资</t>
  </si>
  <si>
    <t>结算备付金</t>
  </si>
  <si>
    <t>应付职工薪酬——应付工资</t>
  </si>
  <si>
    <t>拆出资金</t>
  </si>
  <si>
    <t>应付职工薪酬——应付福利费</t>
  </si>
  <si>
    <t>交易性金融资产</t>
  </si>
  <si>
    <t>应交税费——应交税金</t>
  </si>
  <si>
    <t>衍生金融资产</t>
  </si>
  <si>
    <t>应付债券——优先股</t>
  </si>
  <si>
    <t>应收票据</t>
  </si>
  <si>
    <t>应付债券——永续债</t>
  </si>
  <si>
    <t>应收票据坏账准备</t>
  </si>
  <si>
    <t>其他非流动负债——特准储备基金</t>
  </si>
  <si>
    <t>应收账款</t>
  </si>
  <si>
    <t>其他权益工具——优先股</t>
  </si>
  <si>
    <t>应收账款坏账准备</t>
  </si>
  <si>
    <t>其他权益工具——永续债</t>
  </si>
  <si>
    <t>应收款项融资</t>
  </si>
  <si>
    <t>其他综合收益——外币报表折算差额</t>
  </si>
  <si>
    <t>应收款项融资坏账准备</t>
  </si>
  <si>
    <t>财务费用——利息费用</t>
  </si>
  <si>
    <t>预付款项</t>
  </si>
  <si>
    <t>财务费用——利息收入</t>
  </si>
  <si>
    <t>预付款项坏账准备</t>
  </si>
  <si>
    <t>财务费用——汇兑净损失</t>
  </si>
  <si>
    <t>应收保费</t>
  </si>
  <si>
    <t>投资收益——对联营企业和合营企业的投资收益</t>
  </si>
  <si>
    <t>应收分保账款</t>
  </si>
  <si>
    <t>投资收益——以摊余成本计量的金融资产终止确认收益</t>
  </si>
  <si>
    <t>应收分保合同准备金</t>
  </si>
  <si>
    <t>营业外收入——政府补助</t>
  </si>
  <si>
    <t>应收资金集中管理款</t>
  </si>
  <si>
    <t>应收利息</t>
  </si>
  <si>
    <t>应收利息坏账准备</t>
  </si>
  <si>
    <t>应收股利</t>
  </si>
  <si>
    <t>应收股利坏账准备</t>
  </si>
  <si>
    <t>其他应收款</t>
  </si>
  <si>
    <t>其他应收款坏账准备</t>
  </si>
  <si>
    <t>买入返售金融资产</t>
  </si>
  <si>
    <t>存货</t>
  </si>
  <si>
    <t>存货跌价准备</t>
  </si>
  <si>
    <t>合同资产</t>
  </si>
  <si>
    <t>合同资产减值准备</t>
  </si>
  <si>
    <t>持有待售资产</t>
  </si>
  <si>
    <t>持有待售资产减值准备</t>
  </si>
  <si>
    <t>一年内到期的非流动资产</t>
  </si>
  <si>
    <t>其他流动资产</t>
  </si>
  <si>
    <t>发放委托贷款及垫款</t>
  </si>
  <si>
    <t>债权投资</t>
  </si>
  <si>
    <t>债权投资减值准备</t>
  </si>
  <si>
    <t>可供出售金融资产</t>
  </si>
  <si>
    <t>可供出售金融资产减值准备</t>
  </si>
  <si>
    <t>其他债权投资</t>
  </si>
  <si>
    <t>其他债权投资减值准备</t>
  </si>
  <si>
    <t>持有至到期投资</t>
  </si>
  <si>
    <t>持有至到期投资减值准备</t>
  </si>
  <si>
    <t>长期应收款</t>
  </si>
  <si>
    <t>长期应收款坏账准备</t>
  </si>
  <si>
    <t>长期股权投资</t>
  </si>
  <si>
    <t>长期股权投资减值准备</t>
  </si>
  <si>
    <t>其他权益工具投资</t>
  </si>
  <si>
    <t>其他非流动金融资产</t>
  </si>
  <si>
    <t>投资性房地产</t>
  </si>
  <si>
    <t>投资性房地产公允价值变动</t>
  </si>
  <si>
    <t>投资性房地产累计折旧</t>
  </si>
  <si>
    <t>投资性房地产减值准备</t>
  </si>
  <si>
    <t>固定资产</t>
  </si>
  <si>
    <t>固定资产累计折旧</t>
  </si>
  <si>
    <t>固定资产减值准备</t>
  </si>
  <si>
    <t>固定资产清理</t>
  </si>
  <si>
    <t>在建工程</t>
  </si>
  <si>
    <t>在建工程减值准备</t>
  </si>
  <si>
    <t>工程物资</t>
  </si>
  <si>
    <t>工程物资减值准备</t>
  </si>
  <si>
    <t>生产性生物资产</t>
  </si>
  <si>
    <t>生产性生物资产累计折旧</t>
  </si>
  <si>
    <t>生产性生物资产减值准备</t>
  </si>
  <si>
    <t>油气资产</t>
  </si>
  <si>
    <t>油气资产累计折耗</t>
  </si>
  <si>
    <t>油气资产减值准备</t>
  </si>
  <si>
    <t>使用权资产</t>
  </si>
  <si>
    <t>使用权资产累计折旧</t>
  </si>
  <si>
    <t>使用权资产减值准备</t>
  </si>
  <si>
    <t>无形资产</t>
  </si>
  <si>
    <t>无形资产累计摊销</t>
  </si>
  <si>
    <t>无形资产减值准备</t>
  </si>
  <si>
    <t>开发支出</t>
  </si>
  <si>
    <t>商誉</t>
  </si>
  <si>
    <t>商誉减值准备</t>
  </si>
  <si>
    <t>长期待摊费用</t>
  </si>
  <si>
    <t>递延所得税资产</t>
  </si>
  <si>
    <t>其他非流动资产</t>
  </si>
  <si>
    <t>短期借款</t>
  </si>
  <si>
    <t>向中央银行借款</t>
  </si>
  <si>
    <t>拆入资金</t>
  </si>
  <si>
    <t>交易性金融负债</t>
  </si>
  <si>
    <t>以公允价值计量且其变动计入当期损益的金融负债</t>
  </si>
  <si>
    <t>衍生金融负债</t>
  </si>
  <si>
    <t>应付票据</t>
  </si>
  <si>
    <t>应付账款</t>
  </si>
  <si>
    <t>预收款项</t>
  </si>
  <si>
    <t>合同负债</t>
  </si>
  <si>
    <t>卖出回购金融资产款</t>
  </si>
  <si>
    <t>吸收存款及同业存放</t>
  </si>
  <si>
    <t>代理买卖证券款</t>
  </si>
  <si>
    <t>代理承销证券款</t>
  </si>
  <si>
    <t>应付职工薪酬</t>
  </si>
  <si>
    <t>应交税费</t>
  </si>
  <si>
    <t>应付利息</t>
  </si>
  <si>
    <t>应付股利</t>
  </si>
  <si>
    <t>其他应付款</t>
  </si>
  <si>
    <t>应付手续费及佣金</t>
  </si>
  <si>
    <t>应付分保账款</t>
  </si>
  <si>
    <t>持有待售负债</t>
  </si>
  <si>
    <t>一年内到期的非流动负债</t>
  </si>
  <si>
    <t>其他流动负债</t>
  </si>
  <si>
    <t>保险合同准备金</t>
  </si>
  <si>
    <t>长期借款</t>
  </si>
  <si>
    <t>应付债券</t>
  </si>
  <si>
    <t>租赁负债</t>
  </si>
  <si>
    <t>未确认融资费用——租赁负债</t>
  </si>
  <si>
    <t>长期应付款</t>
  </si>
  <si>
    <t>未确认融资费用——长期应付款</t>
  </si>
  <si>
    <t>专项应付款</t>
  </si>
  <si>
    <t>长期应付职工薪酬</t>
  </si>
  <si>
    <t>预计负债</t>
  </si>
  <si>
    <t>递延收益</t>
  </si>
  <si>
    <t>递延所得税负债</t>
  </si>
  <si>
    <t>其他非流动负债</t>
  </si>
  <si>
    <t>实收资本（或股本）</t>
  </si>
  <si>
    <t>国家资本</t>
  </si>
  <si>
    <t>国有法人资本</t>
  </si>
  <si>
    <t>集体资本</t>
  </si>
  <si>
    <t>民营资本</t>
  </si>
  <si>
    <t>外商资本</t>
  </si>
  <si>
    <t>#减：已归还投资</t>
  </si>
  <si>
    <t>其他权益工具</t>
  </si>
  <si>
    <t>资本公积</t>
  </si>
  <si>
    <t>库存股</t>
  </si>
  <si>
    <t>其他综合收益</t>
  </si>
  <si>
    <t>专项储备</t>
  </si>
  <si>
    <t>盈余公积</t>
  </si>
  <si>
    <t>法定公积金</t>
  </si>
  <si>
    <t>任意公积金</t>
  </si>
  <si>
    <t>#储备基金</t>
  </si>
  <si>
    <t>#企业发展基金</t>
  </si>
  <si>
    <t>#利润归还投资</t>
  </si>
  <si>
    <t>一般风险准备</t>
  </si>
  <si>
    <t>未分配利润</t>
  </si>
  <si>
    <t>少数股东权益</t>
  </si>
  <si>
    <t>主营业务收入</t>
  </si>
  <si>
    <t>其他业务收入</t>
  </si>
  <si>
    <t>利息收入</t>
  </si>
  <si>
    <t>已赚保费</t>
  </si>
  <si>
    <t>手续费及佣金收入</t>
  </si>
  <si>
    <t>主营业务成本</t>
  </si>
  <si>
    <t>其他业务成本</t>
  </si>
  <si>
    <t>利息支出</t>
  </si>
  <si>
    <t>手续费及佣金支出</t>
  </si>
  <si>
    <t>退保金</t>
  </si>
  <si>
    <t>赔付支出净额</t>
  </si>
  <si>
    <t>提取保险合同准备金净额</t>
  </si>
  <si>
    <t>保单红利支出</t>
  </si>
  <si>
    <t>分保费用</t>
  </si>
  <si>
    <t>税金及附加</t>
  </si>
  <si>
    <t>销售费用</t>
  </si>
  <si>
    <t>管理费用</t>
  </si>
  <si>
    <t>研发费用</t>
  </si>
  <si>
    <t>财务费用</t>
  </si>
  <si>
    <t>其他收益</t>
  </si>
  <si>
    <t>投资收益</t>
  </si>
  <si>
    <t>汇兑收益</t>
  </si>
  <si>
    <t>净敞口套期收益</t>
  </si>
  <si>
    <t>公允价值变动收益</t>
  </si>
  <si>
    <t>信用减值损失</t>
  </si>
  <si>
    <t>资产减值损失</t>
  </si>
  <si>
    <t>资产处置收益</t>
  </si>
  <si>
    <t>营业外收入</t>
  </si>
  <si>
    <t>营业外支出</t>
  </si>
  <si>
    <t>所得税费用</t>
  </si>
  <si>
    <t>少数股东损益</t>
  </si>
  <si>
    <t>XX</t>
  </si>
  <si>
    <t>索引号:</t>
  </si>
  <si>
    <t>XXXX-x</t>
  </si>
  <si>
    <t>xxx</t>
  </si>
</sst>
</file>

<file path=xl/styles.xml><?xml version="1.0" encoding="utf-8"?>
<styleSheet xmlns="http://schemas.openxmlformats.org/spreadsheetml/2006/main" xmlns:mc="http://schemas.openxmlformats.org/markup-compatibility/2006" xmlns:xr9="http://schemas.microsoft.com/office/spreadsheetml/2016/revision9" mc:Ignorable="xr9">
  <numFmts count="26">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0;\-#,##0;&quot;-&quot;"/>
    <numFmt numFmtId="178" formatCode="_(* #,##0_);_(* \(#,##0\);_(* &quot;-&quot;_);_(@_)"/>
    <numFmt numFmtId="179" formatCode="_(&quot;$&quot;* #,##0_);_(&quot;$&quot;* \(#,##0\);_(&quot;$&quot;* &quot;-&quot;_);_(@_)"/>
    <numFmt numFmtId="180" formatCode="_(&quot;$&quot;* #,##0.00_);_(&quot;$&quot;* \(#,##0.00\);_(&quot;$&quot;* &quot;-&quot;??_);_(@_)"/>
    <numFmt numFmtId="181" formatCode="_ &quot;￥&quot;* #,##0.00_ ;_ &quot;￥&quot;* \-#,##0.00_ ;_ &quot;￥&quot;* \-??_ ;_ @_ "/>
    <numFmt numFmtId="182" formatCode="_(&quot;$&quot;* #,##0_);_(&quot;$&quot;* \(#,##0\);_(&quot;$&quot;* &quot;-&quot;??_);_(@_)"/>
    <numFmt numFmtId="183" formatCode="mmm\ dd\,\ yy"/>
    <numFmt numFmtId="184" formatCode="_(&quot;$&quot;* #,##0.0_);_(&quot;$&quot;* \(#,##0.0\);_(&quot;$&quot;* &quot;-&quot;??_);_(@_)"/>
    <numFmt numFmtId="185" formatCode="mm/dd/yy_)"/>
    <numFmt numFmtId="186" formatCode="yyyy\-mm\-dd;@"/>
    <numFmt numFmtId="187" formatCode="yyyy/mm/dd;@"/>
    <numFmt numFmtId="188" formatCode="[$-F800]dddd\,\ mmmm\ dd\,\ yyyy"/>
    <numFmt numFmtId="189" formatCode="yyyy/m/d;@"/>
    <numFmt numFmtId="190" formatCode="[$-409]yyyy\-mm\-dd;@"/>
    <numFmt numFmtId="191" formatCode="0.00_ ;\ ;"/>
    <numFmt numFmtId="192" formatCode="0.00_ "/>
    <numFmt numFmtId="193" formatCode="#,##0.00_ "/>
    <numFmt numFmtId="194" formatCode="[$-F800]dddd\,\ mmmm\ dd\,\ yyyy;\ ;"/>
    <numFmt numFmtId="195" formatCode="0.00_ \ ;\ ;"/>
    <numFmt numFmtId="196" formatCode="General\ ;\ ;"/>
    <numFmt numFmtId="197" formatCode="yyyy&quot;年&quot;m&quot;月&quot;d&quot;日&quot;;@"/>
    <numFmt numFmtId="198" formatCode="_ * #,##0.00_ ;_ * \-#,##0.00_ ;_ * &quot; - &quot;??_ ;_ @_ "/>
  </numFmts>
  <fonts count="111">
    <font>
      <sz val="12"/>
      <name val="宋体"/>
      <charset val="134"/>
    </font>
    <font>
      <sz val="10"/>
      <name val="宋体"/>
      <charset val="134"/>
      <scheme val="minor"/>
    </font>
    <font>
      <b/>
      <sz val="10"/>
      <name val="宋体"/>
      <charset val="134"/>
      <scheme val="minor"/>
    </font>
    <font>
      <sz val="10"/>
      <name val="Helv"/>
      <charset val="134"/>
    </font>
    <font>
      <sz val="12"/>
      <name val="Arial Narrow"/>
      <charset val="134"/>
    </font>
    <font>
      <b/>
      <sz val="16"/>
      <name val="宋体"/>
      <charset val="134"/>
      <scheme val="minor"/>
    </font>
    <font>
      <b/>
      <sz val="9"/>
      <name val="宋体"/>
      <charset val="134"/>
      <scheme val="minor"/>
    </font>
    <font>
      <b/>
      <sz val="10"/>
      <name val="宋体"/>
      <charset val="134"/>
    </font>
    <font>
      <b/>
      <i/>
      <u/>
      <sz val="10"/>
      <color indexed="10"/>
      <name val="宋体"/>
      <charset val="134"/>
    </font>
    <font>
      <sz val="10"/>
      <color indexed="8"/>
      <name val="宋体"/>
      <charset val="134"/>
    </font>
    <font>
      <sz val="10"/>
      <color indexed="8"/>
      <name val="Times New Roman"/>
      <charset val="134"/>
    </font>
    <font>
      <sz val="10"/>
      <name val="Times New Roman"/>
      <charset val="134"/>
    </font>
    <font>
      <b/>
      <sz val="10"/>
      <color indexed="10"/>
      <name val="Times New Roman"/>
      <charset val="134"/>
    </font>
    <font>
      <sz val="10"/>
      <name val="宋体"/>
      <charset val="134"/>
    </font>
    <font>
      <sz val="10"/>
      <name val="Arial Narrow"/>
      <charset val="134"/>
    </font>
    <font>
      <b/>
      <sz val="10"/>
      <color rgb="FFFF0000"/>
      <name val="宋体"/>
      <charset val="134"/>
      <scheme val="minor"/>
    </font>
    <font>
      <u/>
      <sz val="10"/>
      <color theme="1"/>
      <name val="宋体"/>
      <charset val="134"/>
    </font>
    <font>
      <sz val="10"/>
      <color indexed="10"/>
      <name val="Arial Narrow"/>
      <charset val="134"/>
    </font>
    <font>
      <sz val="11"/>
      <color theme="1"/>
      <name val="宋体"/>
      <charset val="134"/>
    </font>
    <font>
      <b/>
      <sz val="18"/>
      <color theme="1"/>
      <name val="宋体"/>
      <charset val="134"/>
    </font>
    <font>
      <sz val="12"/>
      <color indexed="8"/>
      <name val="宋体"/>
      <charset val="134"/>
    </font>
    <font>
      <u/>
      <sz val="8"/>
      <color rgb="FF800080"/>
      <name val="宋体"/>
      <charset val="134"/>
    </font>
    <font>
      <b/>
      <u/>
      <sz val="8"/>
      <color rgb="FF800080"/>
      <name val="宋体"/>
      <charset val="134"/>
    </font>
    <font>
      <sz val="10"/>
      <color indexed="8"/>
      <name val="Arial Narrow"/>
      <charset val="134"/>
    </font>
    <font>
      <b/>
      <u/>
      <sz val="10"/>
      <color theme="1"/>
      <name val="宋体"/>
      <charset val="134"/>
    </font>
    <font>
      <b/>
      <sz val="16"/>
      <name val="宋体"/>
      <charset val="134"/>
    </font>
    <font>
      <b/>
      <sz val="9"/>
      <name val="宋体"/>
      <charset val="134"/>
    </font>
    <font>
      <sz val="9"/>
      <name val="宋体"/>
      <charset val="134"/>
    </font>
    <font>
      <sz val="9"/>
      <name val="Times New Roman"/>
      <charset val="134"/>
    </font>
    <font>
      <sz val="10"/>
      <color indexed="12"/>
      <name val="Arial Narrow"/>
      <charset val="134"/>
    </font>
    <font>
      <b/>
      <sz val="10"/>
      <name val="宋体"/>
      <charset val="134"/>
      <scheme val="major"/>
    </font>
    <font>
      <b/>
      <sz val="10"/>
      <name val="Arial Narrow"/>
      <charset val="134"/>
    </font>
    <font>
      <b/>
      <sz val="10"/>
      <name val="Arial"/>
      <charset val="134"/>
    </font>
    <font>
      <sz val="10"/>
      <color indexed="12"/>
      <name val="Arial"/>
      <charset val="134"/>
    </font>
    <font>
      <sz val="10"/>
      <name val="Arial"/>
      <charset val="134"/>
    </font>
    <font>
      <sz val="12"/>
      <name val="Arial"/>
      <charset val="134"/>
    </font>
    <font>
      <b/>
      <sz val="10"/>
      <name val="Arial Narrow"/>
      <charset val="134"/>
    </font>
    <font>
      <b/>
      <sz val="16"/>
      <name val="宋体"/>
      <charset val="134"/>
      <scheme val="major"/>
    </font>
    <font>
      <b/>
      <sz val="10"/>
      <name val="Times New Roman"/>
      <charset val="134"/>
    </font>
    <font>
      <b/>
      <sz val="10"/>
      <color indexed="10"/>
      <name val="宋体"/>
      <charset val="134"/>
    </font>
    <font>
      <b/>
      <sz val="10"/>
      <color indexed="8"/>
      <name val="宋体"/>
      <charset val="134"/>
      <scheme val="major"/>
    </font>
    <font>
      <b/>
      <sz val="10"/>
      <color rgb="FF000000"/>
      <name val="宋体"/>
      <charset val="134"/>
    </font>
    <font>
      <sz val="10"/>
      <color indexed="12"/>
      <name val="宋体"/>
      <charset val="134"/>
    </font>
    <font>
      <sz val="9"/>
      <color indexed="8"/>
      <name val="Arial"/>
      <charset val="134"/>
    </font>
    <font>
      <sz val="9"/>
      <color indexed="8"/>
      <name val="宋体"/>
      <charset val="134"/>
    </font>
    <font>
      <sz val="9"/>
      <color indexed="8"/>
      <name val="宋体"/>
      <charset val="134"/>
      <scheme val="major"/>
    </font>
    <font>
      <sz val="9"/>
      <color indexed="8"/>
      <name val="Arial Narrow"/>
      <charset val="134"/>
    </font>
    <font>
      <sz val="9"/>
      <name val="Arial"/>
      <charset val="134"/>
    </font>
    <font>
      <sz val="9"/>
      <name val="Arial Narrow"/>
      <charset val="134"/>
    </font>
    <font>
      <sz val="9"/>
      <color rgb="FF000000"/>
      <name val="宋体"/>
      <charset val="134"/>
    </font>
    <font>
      <b/>
      <sz val="12"/>
      <name val="Arial Narrow"/>
      <charset val="134"/>
    </font>
    <font>
      <sz val="12"/>
      <color indexed="12"/>
      <name val="Arial Narrow"/>
      <charset val="134"/>
    </font>
    <font>
      <sz val="12"/>
      <name val="Times New Roman"/>
      <charset val="134"/>
    </font>
    <font>
      <sz val="10"/>
      <color rgb="FF0000FF"/>
      <name val="Arial Narrow"/>
      <charset val="134"/>
    </font>
    <font>
      <b/>
      <sz val="12"/>
      <name val="宋体"/>
      <charset val="134"/>
      <scheme val="minor"/>
    </font>
    <font>
      <b/>
      <sz val="10"/>
      <color rgb="FFFF0000"/>
      <name val="宋体"/>
      <charset val="134"/>
      <scheme val="major"/>
    </font>
    <font>
      <sz val="10"/>
      <color rgb="FF000000"/>
      <name val="宋体"/>
      <charset val="134"/>
    </font>
    <font>
      <sz val="10"/>
      <color rgb="FFFF0000"/>
      <name val="宋体"/>
      <charset val="134"/>
    </font>
    <font>
      <sz val="10"/>
      <color indexed="9"/>
      <name val="Arial Narrow"/>
      <charset val="134"/>
    </font>
    <font>
      <sz val="10"/>
      <color indexed="10"/>
      <name val="宋体"/>
      <charset val="134"/>
    </font>
    <font>
      <sz val="10"/>
      <color rgb="FFFF0000"/>
      <name val="Times New Roman"/>
      <charset val="134"/>
    </font>
    <font>
      <sz val="10"/>
      <color indexed="10"/>
      <name val="Times New Roman"/>
      <charset val="134"/>
    </font>
    <font>
      <sz val="11"/>
      <color rgb="FFFF0000"/>
      <name val="宋体"/>
      <charset val="134"/>
      <scheme val="minor"/>
    </font>
    <font>
      <b/>
      <sz val="10"/>
      <color indexed="12"/>
      <name val="宋体"/>
      <charset val="134"/>
    </font>
    <font>
      <b/>
      <sz val="10"/>
      <color rgb="FFFF0000"/>
      <name val="宋体"/>
      <charset val="134"/>
    </font>
    <font>
      <b/>
      <sz val="12"/>
      <color indexed="8"/>
      <name val="宋体"/>
      <charset val="134"/>
    </font>
    <font>
      <sz val="10"/>
      <color indexed="8"/>
      <name val="宋体"/>
      <charset val="134"/>
      <scheme val="minor"/>
    </font>
    <font>
      <b/>
      <sz val="10"/>
      <color indexed="8"/>
      <name val="宋体"/>
      <charset val="134"/>
      <scheme val="minor"/>
    </font>
    <font>
      <b/>
      <sz val="14"/>
      <color indexed="8"/>
      <name val="宋体"/>
      <charset val="134"/>
    </font>
    <font>
      <b/>
      <sz val="10"/>
      <color indexed="8"/>
      <name val="宋体"/>
      <charset val="134"/>
    </font>
    <font>
      <u/>
      <sz val="10"/>
      <color rgb="FF800080"/>
      <name val="宋体"/>
      <charset val="134"/>
    </font>
    <font>
      <sz val="10"/>
      <color theme="1"/>
      <name val="宋体"/>
      <charset val="134"/>
    </font>
    <font>
      <sz val="11"/>
      <color theme="1"/>
      <name val="宋体"/>
      <charset val="134"/>
      <scheme val="minor"/>
    </font>
    <font>
      <u/>
      <sz val="12"/>
      <color indexed="12"/>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b/>
      <sz val="12"/>
      <name val="Times New Roman"/>
      <charset val="134"/>
    </font>
    <font>
      <b/>
      <sz val="12"/>
      <name val="Arial"/>
      <charset val="134"/>
    </font>
    <font>
      <sz val="7"/>
      <name val="Small Fonts"/>
      <charset val="134"/>
    </font>
    <font>
      <sz val="8"/>
      <name val="Times New Roman"/>
      <charset val="134"/>
    </font>
    <font>
      <b/>
      <sz val="12"/>
      <name val="宋体"/>
      <charset val="134"/>
    </font>
    <font>
      <sz val="11"/>
      <color indexed="20"/>
      <name val="宋体"/>
      <charset val="134"/>
    </font>
    <font>
      <sz val="11"/>
      <color indexed="20"/>
      <name val="Tahoma"/>
      <charset val="134"/>
    </font>
    <font>
      <sz val="11"/>
      <color indexed="8"/>
      <name val="宋体"/>
      <charset val="134"/>
    </font>
    <font>
      <sz val="11"/>
      <color indexed="17"/>
      <name val="宋体"/>
      <charset val="134"/>
    </font>
    <font>
      <sz val="11"/>
      <color indexed="17"/>
      <name val="Tahoma"/>
      <charset val="134"/>
    </font>
    <font>
      <sz val="11"/>
      <name val="蹈框"/>
      <charset val="134"/>
    </font>
    <font>
      <sz val="12"/>
      <name val="바탕체"/>
      <charset val="134"/>
    </font>
    <font>
      <sz val="9"/>
      <color rgb="FF000000"/>
      <name val="Arial"/>
      <charset val="134"/>
    </font>
    <font>
      <b/>
      <sz val="9"/>
      <color rgb="FF000000"/>
      <name val="宋体"/>
      <charset val="134"/>
    </font>
    <font>
      <sz val="10"/>
      <color rgb="FF0000FF"/>
      <name val="宋体"/>
      <charset val="134"/>
    </font>
    <font>
      <sz val="9"/>
      <name val="宋体"/>
      <charset val="134"/>
    </font>
    <font>
      <sz val="9"/>
      <name val="Tahoma"/>
      <charset val="134"/>
    </font>
    <font>
      <b/>
      <sz val="9"/>
      <name val="宋体"/>
      <charset val="134"/>
    </font>
  </fonts>
  <fills count="50">
    <fill>
      <patternFill patternType="none"/>
    </fill>
    <fill>
      <patternFill patternType="gray125"/>
    </fill>
    <fill>
      <patternFill patternType="solid">
        <fgColor indexed="65"/>
        <bgColor indexed="64"/>
      </patternFill>
    </fill>
    <fill>
      <patternFill patternType="solid">
        <fgColor theme="0" tint="-0.249977111117893"/>
        <bgColor indexed="64"/>
      </patternFill>
    </fill>
    <fill>
      <patternFill patternType="solid">
        <fgColor rgb="FFC5D9F1"/>
        <bgColor indexed="64"/>
      </patternFill>
    </fill>
    <fill>
      <patternFill patternType="solid">
        <fgColor rgb="FFFFFF00"/>
        <bgColor indexed="64"/>
      </patternFill>
    </fill>
    <fill>
      <patternFill patternType="solid">
        <fgColor theme="3" tint="0.799951170384838"/>
        <bgColor indexed="64"/>
      </patternFill>
    </fill>
    <fill>
      <patternFill patternType="solid">
        <fgColor theme="3" tint="0.79985961485641"/>
        <bgColor indexed="64"/>
      </patternFill>
    </fill>
    <fill>
      <patternFill patternType="solid">
        <fgColor theme="3" tint="0.799890133365886"/>
        <bgColor indexed="64"/>
      </patternFill>
    </fill>
    <fill>
      <patternFill patternType="solid">
        <fgColor rgb="FFC0C0C0"/>
        <bgColor indexed="64"/>
      </patternFill>
    </fill>
    <fill>
      <patternFill patternType="solid">
        <fgColor theme="0"/>
        <bgColor indexed="64"/>
      </patternFill>
    </fill>
    <fill>
      <patternFill patternType="solid">
        <fgColor theme="0" tint="-0.249977111117893"/>
        <bgColor rgb="FF000000"/>
      </patternFill>
    </fill>
    <fill>
      <patternFill patternType="solid">
        <fgColor rgb="FFC5D9F1"/>
        <bgColor rgb="FF000000"/>
      </patternFill>
    </fill>
    <fill>
      <patternFill patternType="solid">
        <fgColor rgb="FFFFFF00"/>
        <bgColor rgb="FF000000"/>
      </patternFill>
    </fill>
    <fill>
      <patternFill patternType="solid">
        <fgColor rgb="FFBFBFBF"/>
        <bgColor indexed="64"/>
      </patternFill>
    </fill>
    <fill>
      <patternFill patternType="solid">
        <fgColor rgb="FFFF0000"/>
        <bgColor indexed="64"/>
      </patternFill>
    </fill>
    <fill>
      <patternFill patternType="solid">
        <fgColor theme="9" tint="0.599993896298105"/>
        <bgColor indexed="64"/>
      </patternFill>
    </fill>
    <fill>
      <patternFill patternType="solid">
        <fgColor theme="4" tint="0.79976805932798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indexed="45"/>
        <bgColor indexed="64"/>
      </patternFill>
    </fill>
    <fill>
      <patternFill patternType="solid">
        <fgColor indexed="42"/>
        <bgColor indexed="64"/>
      </patternFill>
    </fill>
  </fills>
  <borders count="9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thin">
        <color auto="1"/>
      </top>
      <bottom/>
      <diagonal/>
    </border>
    <border>
      <left/>
      <right style="thin">
        <color auto="1"/>
      </right>
      <top style="medium">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right/>
      <top style="medium">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medium">
        <color auto="1"/>
      </right>
      <top style="thin">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top style="medium">
        <color auto="1"/>
      </top>
      <bottom/>
      <diagonal/>
    </border>
    <border>
      <left style="medium">
        <color auto="1"/>
      </left>
      <right style="thin">
        <color auto="1"/>
      </right>
      <top/>
      <bottom style="thin">
        <color auto="1"/>
      </bottom>
      <diagonal/>
    </border>
    <border>
      <left/>
      <right style="medium">
        <color auto="1"/>
      </right>
      <top/>
      <bottom style="thin">
        <color auto="1"/>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right style="thin">
        <color auto="1"/>
      </right>
      <top/>
      <bottom style="thin">
        <color auto="1"/>
      </bottom>
      <diagonal/>
    </border>
    <border>
      <left style="medium">
        <color auto="1"/>
      </left>
      <right style="hair">
        <color auto="1"/>
      </right>
      <top/>
      <bottom style="hair">
        <color auto="1"/>
      </bottom>
      <diagonal/>
    </border>
    <border>
      <left/>
      <right style="hair">
        <color auto="1"/>
      </right>
      <top/>
      <bottom style="hair">
        <color auto="1"/>
      </bottom>
      <diagonal/>
    </border>
    <border>
      <left style="hair">
        <color auto="1"/>
      </left>
      <right/>
      <top style="thin">
        <color auto="1"/>
      </top>
      <bottom style="hair">
        <color auto="1"/>
      </bottom>
      <diagonal/>
    </border>
    <border>
      <left/>
      <right/>
      <top style="thin">
        <color auto="1"/>
      </top>
      <bottom style="hair">
        <color auto="1"/>
      </bottom>
      <diagonal/>
    </border>
    <border>
      <left/>
      <right style="hair">
        <color rgb="FF000000"/>
      </right>
      <top style="thin">
        <color auto="1"/>
      </top>
      <bottom style="hair">
        <color auto="1"/>
      </bottom>
      <diagonal/>
    </border>
    <border>
      <left/>
      <right/>
      <top/>
      <bottom style="hair">
        <color auto="1"/>
      </bottom>
      <diagonal/>
    </border>
    <border>
      <left/>
      <right style="thin">
        <color auto="1"/>
      </right>
      <top/>
      <bottom/>
      <diagonal/>
    </border>
    <border>
      <left style="medium">
        <color auto="1"/>
      </left>
      <right style="hair">
        <color auto="1"/>
      </right>
      <top/>
      <bottom style="medium">
        <color auto="1"/>
      </bottom>
      <diagonal/>
    </border>
    <border>
      <left/>
      <right style="hair">
        <color auto="1"/>
      </right>
      <top/>
      <bottom style="medium">
        <color auto="1"/>
      </bottom>
      <diagonal/>
    </border>
    <border>
      <left/>
      <right style="medium">
        <color auto="1"/>
      </right>
      <top/>
      <bottom style="hair">
        <color auto="1"/>
      </bottom>
      <diagonal/>
    </border>
    <border>
      <left style="medium">
        <color auto="1"/>
      </left>
      <right/>
      <top/>
      <bottom style="thin">
        <color auto="1"/>
      </bottom>
      <diagonal/>
    </border>
    <border>
      <left/>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style="thin">
        <color auto="1"/>
      </bottom>
      <diagonal/>
    </border>
    <border>
      <left style="thin">
        <color auto="1"/>
      </left>
      <right style="medium">
        <color auto="1"/>
      </right>
      <top/>
      <bottom/>
      <diagonal/>
    </border>
    <border>
      <left style="medium">
        <color auto="1"/>
      </left>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257">
    <xf numFmtId="0" fontId="0" fillId="0" borderId="0"/>
    <xf numFmtId="176" fontId="0" fillId="0" borderId="0" applyFont="0" applyFill="0" applyBorder="0" applyAlignment="0" applyProtection="0"/>
    <xf numFmtId="44" fontId="72" fillId="0" borderId="0" applyFont="0" applyFill="0" applyBorder="0" applyAlignment="0" applyProtection="0">
      <alignment vertical="center"/>
    </xf>
    <xf numFmtId="9" fontId="0" fillId="0" borderId="0" applyFont="0" applyFill="0" applyBorder="0" applyAlignment="0" applyProtection="0"/>
    <xf numFmtId="41" fontId="72" fillId="0" borderId="0" applyFont="0" applyFill="0" applyBorder="0" applyAlignment="0" applyProtection="0">
      <alignment vertical="center"/>
    </xf>
    <xf numFmtId="42" fontId="72" fillId="0" borderId="0" applyFont="0" applyFill="0" applyBorder="0" applyAlignment="0" applyProtection="0">
      <alignment vertical="center"/>
    </xf>
    <xf numFmtId="0" fontId="73" fillId="0" borderId="0" applyNumberFormat="0" applyFill="0" applyBorder="0" applyAlignment="0" applyProtection="0">
      <alignment vertical="top"/>
      <protection locked="0"/>
    </xf>
    <xf numFmtId="0" fontId="74" fillId="0" borderId="0" applyNumberFormat="0" applyFill="0" applyBorder="0" applyAlignment="0" applyProtection="0">
      <alignment vertical="center"/>
    </xf>
    <xf numFmtId="0" fontId="72" fillId="18" borderId="82" applyNumberFormat="0" applyFont="0" applyAlignment="0" applyProtection="0">
      <alignment vertical="center"/>
    </xf>
    <xf numFmtId="0" fontId="75" fillId="0" borderId="0" applyNumberFormat="0" applyFill="0" applyBorder="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8" fillId="0" borderId="83" applyNumberFormat="0" applyFill="0" applyAlignment="0" applyProtection="0">
      <alignment vertical="center"/>
    </xf>
    <xf numFmtId="0" fontId="79" fillId="0" borderId="83" applyNumberFormat="0" applyFill="0" applyAlignment="0" applyProtection="0">
      <alignment vertical="center"/>
    </xf>
    <xf numFmtId="0" fontId="80" fillId="0" borderId="84" applyNumberFormat="0" applyFill="0" applyAlignment="0" applyProtection="0">
      <alignment vertical="center"/>
    </xf>
    <xf numFmtId="0" fontId="80" fillId="0" borderId="0" applyNumberFormat="0" applyFill="0" applyBorder="0" applyAlignment="0" applyProtection="0">
      <alignment vertical="center"/>
    </xf>
    <xf numFmtId="0" fontId="81" fillId="19" borderId="85" applyNumberFormat="0" applyAlignment="0" applyProtection="0">
      <alignment vertical="center"/>
    </xf>
    <xf numFmtId="0" fontId="82" fillId="20" borderId="86" applyNumberFormat="0" applyAlignment="0" applyProtection="0">
      <alignment vertical="center"/>
    </xf>
    <xf numFmtId="0" fontId="83" fillId="20" borderId="85" applyNumberFormat="0" applyAlignment="0" applyProtection="0">
      <alignment vertical="center"/>
    </xf>
    <xf numFmtId="0" fontId="84" fillId="21" borderId="87" applyNumberFormat="0" applyAlignment="0" applyProtection="0">
      <alignment vertical="center"/>
    </xf>
    <xf numFmtId="0" fontId="85" fillId="0" borderId="88" applyNumberFormat="0" applyFill="0" applyAlignment="0" applyProtection="0">
      <alignment vertical="center"/>
    </xf>
    <xf numFmtId="0" fontId="86" fillId="0" borderId="89" applyNumberFormat="0" applyFill="0" applyAlignment="0" applyProtection="0">
      <alignment vertical="center"/>
    </xf>
    <xf numFmtId="0" fontId="87" fillId="22" borderId="0" applyNumberFormat="0" applyBorder="0" applyAlignment="0" applyProtection="0">
      <alignment vertical="center"/>
    </xf>
    <xf numFmtId="0" fontId="88" fillId="23" borderId="0" applyNumberFormat="0" applyBorder="0" applyAlignment="0" applyProtection="0">
      <alignment vertical="center"/>
    </xf>
    <xf numFmtId="0" fontId="89" fillId="24" borderId="0" applyNumberFormat="0" applyBorder="0" applyAlignment="0" applyProtection="0">
      <alignment vertical="center"/>
    </xf>
    <xf numFmtId="0" fontId="90" fillId="25" borderId="0" applyNumberFormat="0" applyBorder="0" applyAlignment="0" applyProtection="0">
      <alignment vertical="center"/>
    </xf>
    <xf numFmtId="0" fontId="91" fillId="26" borderId="0" applyNumberFormat="0" applyBorder="0" applyAlignment="0" applyProtection="0">
      <alignment vertical="center"/>
    </xf>
    <xf numFmtId="0" fontId="91" fillId="27" borderId="0" applyNumberFormat="0" applyBorder="0" applyAlignment="0" applyProtection="0">
      <alignment vertical="center"/>
    </xf>
    <xf numFmtId="0" fontId="90" fillId="28" borderId="0" applyNumberFormat="0" applyBorder="0" applyAlignment="0" applyProtection="0">
      <alignment vertical="center"/>
    </xf>
    <xf numFmtId="0" fontId="90" fillId="29" borderId="0" applyNumberFormat="0" applyBorder="0" applyAlignment="0" applyProtection="0">
      <alignment vertical="center"/>
    </xf>
    <xf numFmtId="0" fontId="91" fillId="30" borderId="0" applyNumberFormat="0" applyBorder="0" applyAlignment="0" applyProtection="0">
      <alignment vertical="center"/>
    </xf>
    <xf numFmtId="0" fontId="91" fillId="31" borderId="0" applyNumberFormat="0" applyBorder="0" applyAlignment="0" applyProtection="0">
      <alignment vertical="center"/>
    </xf>
    <xf numFmtId="0" fontId="90" fillId="32" borderId="0" applyNumberFormat="0" applyBorder="0" applyAlignment="0" applyProtection="0">
      <alignment vertical="center"/>
    </xf>
    <xf numFmtId="0" fontId="90" fillId="33" borderId="0" applyNumberFormat="0" applyBorder="0" applyAlignment="0" applyProtection="0">
      <alignment vertical="center"/>
    </xf>
    <xf numFmtId="0" fontId="91" fillId="34" borderId="0" applyNumberFormat="0" applyBorder="0" applyAlignment="0" applyProtection="0">
      <alignment vertical="center"/>
    </xf>
    <xf numFmtId="0" fontId="91" fillId="35" borderId="0" applyNumberFormat="0" applyBorder="0" applyAlignment="0" applyProtection="0">
      <alignment vertical="center"/>
    </xf>
    <xf numFmtId="0" fontId="90" fillId="36" borderId="0" applyNumberFormat="0" applyBorder="0" applyAlignment="0" applyProtection="0">
      <alignment vertical="center"/>
    </xf>
    <xf numFmtId="0" fontId="90" fillId="37" borderId="0" applyNumberFormat="0" applyBorder="0" applyAlignment="0" applyProtection="0">
      <alignment vertical="center"/>
    </xf>
    <xf numFmtId="0" fontId="91" fillId="38" borderId="0" applyNumberFormat="0" applyBorder="0" applyAlignment="0" applyProtection="0">
      <alignment vertical="center"/>
    </xf>
    <xf numFmtId="0" fontId="91" fillId="39" borderId="0" applyNumberFormat="0" applyBorder="0" applyAlignment="0" applyProtection="0">
      <alignment vertical="center"/>
    </xf>
    <xf numFmtId="0" fontId="90" fillId="40" borderId="0" applyNumberFormat="0" applyBorder="0" applyAlignment="0" applyProtection="0">
      <alignment vertical="center"/>
    </xf>
    <xf numFmtId="0" fontId="90" fillId="41" borderId="0" applyNumberFormat="0" applyBorder="0" applyAlignment="0" applyProtection="0">
      <alignment vertical="center"/>
    </xf>
    <xf numFmtId="0" fontId="91" fillId="42" borderId="0" applyNumberFormat="0" applyBorder="0" applyAlignment="0" applyProtection="0">
      <alignment vertical="center"/>
    </xf>
    <xf numFmtId="0" fontId="91" fillId="43" borderId="0" applyNumberFormat="0" applyBorder="0" applyAlignment="0" applyProtection="0">
      <alignment vertical="center"/>
    </xf>
    <xf numFmtId="0" fontId="90" fillId="44" borderId="0" applyNumberFormat="0" applyBorder="0" applyAlignment="0" applyProtection="0">
      <alignment vertical="center"/>
    </xf>
    <xf numFmtId="0" fontId="90" fillId="45" borderId="0" applyNumberFormat="0" applyBorder="0" applyAlignment="0" applyProtection="0">
      <alignment vertical="center"/>
    </xf>
    <xf numFmtId="0" fontId="91" fillId="46" borderId="0" applyNumberFormat="0" applyBorder="0" applyAlignment="0" applyProtection="0">
      <alignment vertical="center"/>
    </xf>
    <xf numFmtId="0" fontId="91" fillId="16" borderId="0" applyNumberFormat="0" applyBorder="0" applyAlignment="0" applyProtection="0">
      <alignment vertical="center"/>
    </xf>
    <xf numFmtId="0" fontId="90" fillId="47" borderId="0" applyNumberFormat="0" applyBorder="0" applyAlignment="0" applyProtection="0">
      <alignment vertical="center"/>
    </xf>
    <xf numFmtId="0" fontId="34" fillId="0" borderId="0"/>
    <xf numFmtId="0" fontId="34" fillId="0" borderId="0"/>
    <xf numFmtId="177" fontId="92" fillId="0" borderId="0" applyFill="0" applyBorder="0" applyAlignment="0"/>
    <xf numFmtId="0" fontId="93" fillId="0" borderId="0" applyNumberFormat="0" applyFill="0" applyBorder="0" applyAlignment="0" applyProtection="0"/>
    <xf numFmtId="178" fontId="0" fillId="0" borderId="0" applyFont="0" applyFill="0" applyBorder="0" applyAlignment="0" applyProtection="0"/>
    <xf numFmtId="176" fontId="0" fillId="0" borderId="0" applyFont="0" applyFill="0" applyBorder="0" applyAlignment="0" applyProtection="0"/>
    <xf numFmtId="179" fontId="0" fillId="0" borderId="0" applyFont="0" applyFill="0" applyBorder="0" applyAlignment="0" applyProtection="0"/>
    <xf numFmtId="180" fontId="0" fillId="0" borderId="0" applyFont="0" applyFill="0" applyBorder="0" applyAlignment="0" applyProtection="0"/>
    <xf numFmtId="0" fontId="94" fillId="0" borderId="21" applyNumberFormat="0" applyAlignment="0" applyProtection="0">
      <alignment horizontal="left" vertical="center"/>
    </xf>
    <xf numFmtId="0" fontId="94" fillId="0" borderId="46">
      <alignment horizontal="left" vertical="center"/>
    </xf>
    <xf numFmtId="37" fontId="95" fillId="0" borderId="0"/>
    <xf numFmtId="0" fontId="96" fillId="0" borderId="0"/>
    <xf numFmtId="0" fontId="97" fillId="0" borderId="0" applyNumberFormat="0" applyFill="0" applyBorder="0" applyAlignment="0" applyProtection="0"/>
    <xf numFmtId="9" fontId="0" fillId="0" borderId="0" applyFont="0" applyFill="0" applyBorder="0" applyAlignment="0" applyProtection="0"/>
    <xf numFmtId="0" fontId="98" fillId="48" borderId="0" applyNumberFormat="0" applyBorder="0" applyAlignment="0" applyProtection="0">
      <alignment vertical="center"/>
    </xf>
    <xf numFmtId="0" fontId="98" fillId="48" borderId="0" applyNumberFormat="0" applyBorder="0" applyAlignment="0" applyProtection="0">
      <alignment vertical="center"/>
    </xf>
    <xf numFmtId="0" fontId="99" fillId="48" borderId="0" applyNumberFormat="0" applyBorder="0" applyAlignment="0" applyProtection="0">
      <alignment vertical="center"/>
    </xf>
    <xf numFmtId="0" fontId="99" fillId="48"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3"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7"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0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top"/>
    </xf>
    <xf numFmtId="0" fontId="0" fillId="0" borderId="0">
      <alignment vertical="center"/>
    </xf>
    <xf numFmtId="0" fontId="72" fillId="0" borderId="0"/>
    <xf numFmtId="0" fontId="13"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2"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52"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73" fillId="0" borderId="0" applyNumberFormat="0" applyFill="0" applyBorder="0" applyAlignment="0" applyProtection="0">
      <alignment vertical="top"/>
      <protection locked="0"/>
    </xf>
    <xf numFmtId="0" fontId="101" fillId="49" borderId="0" applyNumberFormat="0" applyBorder="0" applyAlignment="0" applyProtection="0">
      <alignment vertical="center"/>
    </xf>
    <xf numFmtId="0" fontId="101" fillId="49" borderId="0" applyNumberFormat="0" applyBorder="0" applyAlignment="0" applyProtection="0">
      <alignment vertical="center"/>
    </xf>
    <xf numFmtId="0" fontId="102" fillId="49" borderId="0" applyNumberFormat="0" applyBorder="0" applyAlignment="0" applyProtection="0">
      <alignment vertical="center"/>
    </xf>
    <xf numFmtId="0" fontId="102" fillId="49" borderId="0" applyNumberFormat="0" applyBorder="0" applyAlignment="0" applyProtection="0">
      <alignment vertical="center"/>
    </xf>
    <xf numFmtId="181" fontId="0" fillId="0" borderId="0" applyFont="0" applyFill="0" applyBorder="0" applyAlignment="0" applyProtection="0">
      <alignment vertical="center"/>
    </xf>
    <xf numFmtId="44" fontId="0" fillId="0" borderId="0" applyFont="0" applyFill="0" applyBorder="0" applyAlignment="0" applyProtection="0">
      <alignment vertical="center"/>
    </xf>
    <xf numFmtId="181" fontId="0" fillId="0" borderId="0" applyFont="0" applyFill="0" applyBorder="0" applyAlignment="0" applyProtection="0">
      <alignment vertical="center"/>
    </xf>
    <xf numFmtId="44" fontId="0" fillId="0" borderId="0" applyFont="0" applyFill="0" applyBorder="0" applyAlignment="0" applyProtection="0">
      <alignment vertical="center"/>
    </xf>
    <xf numFmtId="181" fontId="0" fillId="0" borderId="0" applyFont="0" applyFill="0" applyBorder="0" applyAlignment="0" applyProtection="0">
      <alignment vertical="center"/>
    </xf>
    <xf numFmtId="44" fontId="0" fillId="0" borderId="0" applyFont="0" applyFill="0" applyBorder="0" applyAlignment="0" applyProtection="0">
      <alignment vertical="center"/>
    </xf>
    <xf numFmtId="182" fontId="0" fillId="0" borderId="0" applyFont="0" applyFill="0" applyBorder="0" applyAlignment="0" applyProtection="0"/>
    <xf numFmtId="183" fontId="0" fillId="0" borderId="0" applyFont="0" applyFill="0" applyBorder="0" applyAlignment="0" applyProtection="0"/>
    <xf numFmtId="184" fontId="0" fillId="0" borderId="0" applyFont="0" applyFill="0" applyBorder="0" applyAlignment="0" applyProtection="0"/>
    <xf numFmtId="185" fontId="0" fillId="0" borderId="0" applyFont="0" applyFill="0" applyBorder="0" applyAlignment="0" applyProtection="0"/>
    <xf numFmtId="0" fontId="11" fillId="0" borderId="0"/>
    <xf numFmtId="178" fontId="0" fillId="0" borderId="0" applyFont="0" applyFill="0" applyBorder="0" applyAlignment="0" applyProtection="0"/>
    <xf numFmtId="176" fontId="0" fillId="0" borderId="0" applyFont="0" applyFill="0" applyBorder="0" applyAlignment="0" applyProtection="0"/>
    <xf numFmtId="178"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alignment vertical="center"/>
    </xf>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alignment vertical="center"/>
    </xf>
    <xf numFmtId="176" fontId="0" fillId="0" borderId="0" applyFont="0" applyFill="0" applyBorder="0" applyAlignment="0" applyProtection="0">
      <alignment vertical="center"/>
    </xf>
    <xf numFmtId="176" fontId="0" fillId="0" borderId="0" applyFont="0" applyFill="0" applyBorder="0" applyAlignment="0" applyProtection="0"/>
    <xf numFmtId="176" fontId="100" fillId="0" borderId="0" applyFont="0" applyFill="0" applyBorder="0" applyAlignment="0" applyProtection="0"/>
    <xf numFmtId="0" fontId="103" fillId="0" borderId="0"/>
    <xf numFmtId="0" fontId="92" fillId="0" borderId="0">
      <alignment vertical="top"/>
    </xf>
    <xf numFmtId="38" fontId="0" fillId="0" borderId="0" applyFont="0" applyFill="0" applyBorder="0" applyAlignment="0" applyProtection="0"/>
    <xf numFmtId="40" fontId="0" fillId="0" borderId="0" applyFont="0" applyFill="0" applyBorder="0" applyAlignment="0" applyProtection="0"/>
    <xf numFmtId="0" fontId="0" fillId="0" borderId="0" applyFont="0" applyFill="0" applyBorder="0" applyAlignment="0" applyProtection="0"/>
    <xf numFmtId="0" fontId="0" fillId="0" borderId="0" applyFont="0" applyFill="0" applyBorder="0" applyAlignment="0" applyProtection="0"/>
    <xf numFmtId="0" fontId="104" fillId="0" borderId="0"/>
  </cellStyleXfs>
  <cellXfs count="983">
    <xf numFmtId="0" fontId="0" fillId="0" borderId="0" xfId="0"/>
    <xf numFmtId="0" fontId="1" fillId="0" borderId="0" xfId="212" applyFont="1" applyAlignment="1">
      <alignment vertical="center"/>
    </xf>
    <xf numFmtId="0" fontId="2" fillId="0" borderId="0" xfId="210" applyFont="1" applyAlignment="1">
      <alignment vertical="center"/>
    </xf>
    <xf numFmtId="0" fontId="3" fillId="0" borderId="0" xfId="110" applyFont="1"/>
    <xf numFmtId="0" fontId="4" fillId="0" borderId="0" xfId="70" applyFont="1">
      <alignment vertical="center"/>
    </xf>
    <xf numFmtId="0" fontId="0" fillId="0" borderId="0" xfId="70">
      <alignment vertical="center"/>
    </xf>
    <xf numFmtId="0" fontId="5" fillId="0" borderId="0" xfId="206" applyFont="1" applyAlignment="1">
      <alignment vertical="center"/>
    </xf>
    <xf numFmtId="0" fontId="5" fillId="0" borderId="0" xfId="217" applyFont="1">
      <alignment vertical="center"/>
    </xf>
    <xf numFmtId="0" fontId="6" fillId="0" borderId="0" xfId="212" applyFont="1" applyAlignment="1">
      <alignment horizontal="left" vertical="center"/>
    </xf>
    <xf numFmtId="176" fontId="2" fillId="0" borderId="0" xfId="247" applyFont="1" applyFill="1" applyBorder="1" applyAlignment="1">
      <alignment vertical="center" shrinkToFit="1"/>
    </xf>
    <xf numFmtId="0" fontId="7" fillId="0" borderId="1" xfId="215" applyFont="1" applyBorder="1" applyAlignment="1" applyProtection="1">
      <alignment horizontal="center" vertical="center" wrapText="1"/>
      <protection locked="0"/>
    </xf>
    <xf numFmtId="0" fontId="7" fillId="0" borderId="2" xfId="215" applyFont="1" applyBorder="1" applyAlignment="1" applyProtection="1">
      <alignment horizontal="center" vertical="center" wrapText="1"/>
      <protection locked="0"/>
    </xf>
    <xf numFmtId="49" fontId="7" fillId="0" borderId="3" xfId="207" applyNumberFormat="1" applyFont="1" applyBorder="1" applyAlignment="1">
      <alignment vertical="center"/>
    </xf>
    <xf numFmtId="0" fontId="8" fillId="0" borderId="0" xfId="110" applyFont="1" applyAlignment="1">
      <alignment vertical="center"/>
    </xf>
    <xf numFmtId="0" fontId="9" fillId="0" borderId="4" xfId="214" applyFont="1" applyBorder="1" applyAlignment="1">
      <alignment horizontal="center" vertical="center"/>
    </xf>
    <xf numFmtId="0" fontId="9" fillId="0" borderId="5" xfId="69" applyFont="1" applyBorder="1" applyAlignment="1">
      <alignment horizontal="left" vertical="center"/>
    </xf>
    <xf numFmtId="176" fontId="10" fillId="0" borderId="5" xfId="243" applyFont="1" applyFill="1" applyBorder="1" applyAlignment="1">
      <alignment horizontal="center" vertical="center" shrinkToFit="1"/>
    </xf>
    <xf numFmtId="0" fontId="9" fillId="0" borderId="6" xfId="214" applyFont="1" applyBorder="1" applyAlignment="1">
      <alignment horizontal="center" vertical="center"/>
    </xf>
    <xf numFmtId="0" fontId="9" fillId="0" borderId="7" xfId="69" applyFont="1" applyBorder="1" applyAlignment="1">
      <alignment horizontal="left" vertical="center"/>
    </xf>
    <xf numFmtId="176" fontId="11" fillId="0" borderId="7" xfId="243" applyFont="1" applyFill="1" applyBorder="1" applyAlignment="1" applyProtection="1">
      <alignment horizontal="center" vertical="center" shrinkToFit="1"/>
      <protection locked="0"/>
    </xf>
    <xf numFmtId="0" fontId="12" fillId="0" borderId="0" xfId="115" applyFont="1" applyAlignment="1">
      <alignment horizontal="center"/>
    </xf>
    <xf numFmtId="176" fontId="13" fillId="0" borderId="0" xfId="247" applyFont="1" applyFill="1" applyBorder="1" applyAlignment="1">
      <alignment horizontal="left" vertical="center" shrinkToFit="1"/>
    </xf>
    <xf numFmtId="176" fontId="14" fillId="0" borderId="0" xfId="247" applyFont="1" applyFill="1" applyBorder="1" applyAlignment="1">
      <alignment horizontal="left" vertical="center" shrinkToFit="1"/>
    </xf>
    <xf numFmtId="176" fontId="14" fillId="0" borderId="0" xfId="247" applyFont="1" applyFill="1" applyBorder="1" applyAlignment="1">
      <alignment horizontal="center" vertical="center" shrinkToFit="1"/>
    </xf>
    <xf numFmtId="176" fontId="13" fillId="0" borderId="8" xfId="247" applyFont="1" applyFill="1" applyBorder="1" applyAlignment="1">
      <alignment horizontal="left" vertical="center" shrinkToFit="1"/>
    </xf>
    <xf numFmtId="176" fontId="14" fillId="0" borderId="9" xfId="247" applyFont="1" applyFill="1" applyBorder="1" applyAlignment="1">
      <alignment horizontal="left" vertical="center" shrinkToFit="1"/>
    </xf>
    <xf numFmtId="176" fontId="14" fillId="0" borderId="9" xfId="247" applyFont="1" applyFill="1" applyBorder="1" applyAlignment="1">
      <alignment horizontal="center" vertical="center" shrinkToFit="1"/>
    </xf>
    <xf numFmtId="176" fontId="13" fillId="0" borderId="10" xfId="247" applyFont="1" applyFill="1" applyBorder="1" applyAlignment="1">
      <alignment horizontal="left" vertical="center" shrinkToFit="1"/>
    </xf>
    <xf numFmtId="176" fontId="14" fillId="0" borderId="0" xfId="247" applyFont="1" applyFill="1" applyBorder="1" applyAlignment="1">
      <alignment vertical="top" wrapText="1" shrinkToFit="1"/>
    </xf>
    <xf numFmtId="176" fontId="14" fillId="0" borderId="10" xfId="247" applyFont="1" applyFill="1" applyBorder="1" applyAlignment="1">
      <alignment vertical="top" wrapText="1" shrinkToFit="1"/>
    </xf>
    <xf numFmtId="0" fontId="4" fillId="0" borderId="11" xfId="70" applyFont="1" applyBorder="1">
      <alignment vertical="center"/>
    </xf>
    <xf numFmtId="0" fontId="4" fillId="0" borderId="12" xfId="70" applyFont="1" applyBorder="1">
      <alignment vertical="center"/>
    </xf>
    <xf numFmtId="0" fontId="2" fillId="0" borderId="0" xfId="210" applyFont="1" applyAlignment="1">
      <alignment horizontal="right" vertical="center"/>
    </xf>
    <xf numFmtId="49" fontId="15" fillId="0" borderId="0" xfId="212" applyNumberFormat="1" applyFont="1" applyAlignment="1">
      <alignment horizontal="left" vertical="center"/>
    </xf>
    <xf numFmtId="0" fontId="2" fillId="0" borderId="0" xfId="210" applyFont="1" applyAlignment="1">
      <alignment horizontal="left" vertical="center"/>
    </xf>
    <xf numFmtId="49" fontId="7" fillId="0" borderId="13" xfId="207" applyNumberFormat="1" applyFont="1" applyBorder="1" applyAlignment="1">
      <alignment vertical="center"/>
    </xf>
    <xf numFmtId="0" fontId="11" fillId="0" borderId="14" xfId="215" applyFont="1" applyBorder="1" applyAlignment="1">
      <alignment vertical="center"/>
    </xf>
    <xf numFmtId="0" fontId="11" fillId="0" borderId="15" xfId="215" applyFont="1" applyBorder="1" applyAlignment="1">
      <alignment vertical="center"/>
    </xf>
    <xf numFmtId="176" fontId="14" fillId="0" borderId="16" xfId="247" applyFont="1" applyFill="1" applyBorder="1" applyAlignment="1">
      <alignment horizontal="center" vertical="center" shrinkToFit="1"/>
    </xf>
    <xf numFmtId="176" fontId="14" fillId="0" borderId="17" xfId="247" applyFont="1" applyFill="1" applyBorder="1" applyAlignment="1">
      <alignment horizontal="center" vertical="center" shrinkToFit="1"/>
    </xf>
    <xf numFmtId="176" fontId="14" fillId="0" borderId="17" xfId="247" applyFont="1" applyFill="1" applyBorder="1" applyAlignment="1">
      <alignment vertical="top" wrapText="1" shrinkToFit="1"/>
    </xf>
    <xf numFmtId="0" fontId="4" fillId="0" borderId="18" xfId="70" applyFont="1" applyBorder="1">
      <alignment vertical="center"/>
    </xf>
    <xf numFmtId="0" fontId="16" fillId="0" borderId="0" xfId="219" applyFont="1" applyFill="1" applyBorder="1" applyAlignment="1" applyProtection="1">
      <alignment vertical="center"/>
    </xf>
    <xf numFmtId="186" fontId="2" fillId="0" borderId="0" xfId="210" applyNumberFormat="1" applyFont="1" applyAlignment="1">
      <alignment horizontal="left" vertical="center" shrinkToFit="1"/>
    </xf>
    <xf numFmtId="176" fontId="17" fillId="0" borderId="0" xfId="247" applyFont="1" applyFill="1" applyBorder="1" applyAlignment="1">
      <alignment horizontal="center" vertical="center" shrinkToFit="1"/>
    </xf>
    <xf numFmtId="0" fontId="18" fillId="0" borderId="0" xfId="193" applyFont="1" applyAlignment="1">
      <alignment horizontal="center" vertical="center"/>
    </xf>
    <xf numFmtId="0" fontId="18" fillId="0" borderId="0" xfId="193" applyFont="1" applyAlignment="1">
      <alignment vertical="center"/>
    </xf>
    <xf numFmtId="0" fontId="19" fillId="0" borderId="0" xfId="193" applyFont="1" applyAlignment="1">
      <alignment vertical="center"/>
    </xf>
    <xf numFmtId="0" fontId="18" fillId="0" borderId="19" xfId="193" applyFont="1" applyBorder="1" applyAlignment="1">
      <alignment horizontal="center" vertical="center"/>
    </xf>
    <xf numFmtId="0" fontId="18" fillId="0" borderId="3" xfId="193" applyFont="1" applyBorder="1" applyAlignment="1">
      <alignment horizontal="center" vertical="center"/>
    </xf>
    <xf numFmtId="0" fontId="18" fillId="0" borderId="13" xfId="193" applyFont="1" applyBorder="1" applyAlignment="1">
      <alignment horizontal="center" vertical="center"/>
    </xf>
    <xf numFmtId="0" fontId="18" fillId="0" borderId="4" xfId="193" applyFont="1" applyBorder="1" applyAlignment="1">
      <alignment vertical="center"/>
    </xf>
    <xf numFmtId="0" fontId="18" fillId="0" borderId="5" xfId="193" applyFont="1" applyBorder="1" applyAlignment="1">
      <alignment vertical="center"/>
    </xf>
    <xf numFmtId="0" fontId="18" fillId="0" borderId="14" xfId="193" applyFont="1" applyBorder="1" applyAlignment="1">
      <alignment vertical="center"/>
    </xf>
    <xf numFmtId="0" fontId="18" fillId="0" borderId="6" xfId="193" applyFont="1" applyBorder="1" applyAlignment="1">
      <alignment vertical="center"/>
    </xf>
    <xf numFmtId="0" fontId="18" fillId="0" borderId="7" xfId="193" applyFont="1" applyBorder="1" applyAlignment="1">
      <alignment vertical="center"/>
    </xf>
    <xf numFmtId="0" fontId="18" fillId="0" borderId="15" xfId="193" applyFont="1" applyBorder="1" applyAlignment="1">
      <alignment vertical="center"/>
    </xf>
    <xf numFmtId="0" fontId="20" fillId="0" borderId="0" xfId="0" applyFont="1" applyAlignment="1">
      <alignment vertical="center"/>
    </xf>
    <xf numFmtId="0" fontId="21" fillId="0" borderId="0" xfId="6" applyFont="1" applyAlignment="1" applyProtection="1">
      <alignment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2" fillId="2" borderId="0" xfId="212" applyFont="1" applyFill="1" applyAlignment="1">
      <alignment vertical="center"/>
    </xf>
    <xf numFmtId="0" fontId="2" fillId="2" borderId="0" xfId="210" applyFont="1" applyFill="1" applyAlignment="1">
      <alignment vertical="center"/>
    </xf>
    <xf numFmtId="0" fontId="7" fillId="2" borderId="0" xfId="70" applyFont="1" applyFill="1">
      <alignment vertical="center"/>
    </xf>
    <xf numFmtId="0" fontId="22" fillId="2" borderId="0" xfId="6" applyFont="1" applyFill="1" applyBorder="1" applyAlignment="1" applyProtection="1">
      <alignment horizontal="center" vertical="center"/>
    </xf>
    <xf numFmtId="0" fontId="5" fillId="2" borderId="0" xfId="206" applyFont="1" applyFill="1" applyAlignment="1">
      <alignment vertical="center"/>
    </xf>
    <xf numFmtId="0" fontId="2" fillId="2" borderId="0" xfId="217" applyFont="1" applyFill="1">
      <alignment vertical="center"/>
    </xf>
    <xf numFmtId="0" fontId="6" fillId="2" borderId="0" xfId="212" applyFont="1" applyFill="1" applyAlignment="1">
      <alignment horizontal="left" vertical="center"/>
    </xf>
    <xf numFmtId="176" fontId="7" fillId="2" borderId="0" xfId="246" applyFont="1" applyFill="1" applyBorder="1" applyAlignment="1">
      <alignment horizontal="right" vertical="center" shrinkToFit="1"/>
    </xf>
    <xf numFmtId="176" fontId="23" fillId="0" borderId="5" xfId="242" applyFont="1" applyFill="1" applyBorder="1" applyAlignment="1">
      <alignment horizontal="right" vertical="center" shrinkToFit="1"/>
    </xf>
    <xf numFmtId="176" fontId="14" fillId="0" borderId="7" xfId="242" applyFont="1" applyFill="1" applyBorder="1" applyAlignment="1" applyProtection="1">
      <alignment horizontal="right" vertical="center" shrinkToFit="1"/>
      <protection locked="0"/>
    </xf>
    <xf numFmtId="176" fontId="14" fillId="0" borderId="0" xfId="246" applyFont="1" applyFill="1" applyBorder="1" applyAlignment="1">
      <alignment horizontal="right" vertical="center" shrinkToFit="1"/>
    </xf>
    <xf numFmtId="176" fontId="14" fillId="0" borderId="8" xfId="246" applyFont="1" applyFill="1" applyBorder="1" applyAlignment="1">
      <alignment horizontal="right" vertical="center" shrinkToFit="1"/>
    </xf>
    <xf numFmtId="176" fontId="14" fillId="0" borderId="9" xfId="246" applyFont="1" applyFill="1" applyBorder="1" applyAlignment="1">
      <alignment horizontal="right" vertical="center" shrinkToFit="1"/>
    </xf>
    <xf numFmtId="176" fontId="14" fillId="0" borderId="10" xfId="246" applyFont="1" applyFill="1" applyBorder="1" applyAlignment="1">
      <alignment horizontal="right" vertical="center" shrinkToFit="1"/>
    </xf>
    <xf numFmtId="176" fontId="14" fillId="0" borderId="0" xfId="246" applyFont="1" applyFill="1" applyBorder="1" applyAlignment="1">
      <alignment horizontal="right" vertical="top" shrinkToFit="1"/>
    </xf>
    <xf numFmtId="176" fontId="14" fillId="0" borderId="10" xfId="246" applyFont="1" applyFill="1" applyBorder="1" applyAlignment="1">
      <alignment horizontal="right" vertical="top" shrinkToFit="1"/>
    </xf>
    <xf numFmtId="0" fontId="2" fillId="2" borderId="0" xfId="210" applyFont="1" applyFill="1" applyAlignment="1">
      <alignment horizontal="right" vertical="center"/>
    </xf>
    <xf numFmtId="49" fontId="15" fillId="2" borderId="0" xfId="212" applyNumberFormat="1" applyFont="1" applyFill="1" applyAlignment="1">
      <alignment horizontal="left" vertical="center"/>
    </xf>
    <xf numFmtId="0" fontId="2" fillId="2" borderId="0" xfId="210" applyFont="1" applyFill="1" applyAlignment="1">
      <alignment horizontal="left" vertical="center"/>
    </xf>
    <xf numFmtId="176" fontId="14" fillId="0" borderId="16" xfId="246" applyFont="1" applyFill="1" applyBorder="1" applyAlignment="1">
      <alignment horizontal="right" vertical="center" shrinkToFit="1"/>
    </xf>
    <xf numFmtId="176" fontId="14" fillId="0" borderId="17" xfId="246" applyFont="1" applyFill="1" applyBorder="1" applyAlignment="1">
      <alignment horizontal="right" vertical="center" shrinkToFit="1"/>
    </xf>
    <xf numFmtId="176" fontId="14" fillId="0" borderId="17" xfId="246" applyFont="1" applyFill="1" applyBorder="1" applyAlignment="1">
      <alignment horizontal="right" vertical="top" shrinkToFit="1"/>
    </xf>
    <xf numFmtId="0" fontId="24" fillId="2" borderId="0" xfId="219" applyFont="1" applyFill="1" applyBorder="1" applyAlignment="1" applyProtection="1">
      <alignment vertical="center"/>
    </xf>
    <xf numFmtId="187" fontId="7" fillId="2" borderId="0" xfId="210" applyNumberFormat="1" applyFont="1" applyFill="1" applyAlignment="1">
      <alignment horizontal="right" vertical="center" shrinkToFit="1"/>
    </xf>
    <xf numFmtId="176" fontId="17" fillId="0" borderId="0" xfId="246" applyFont="1" applyFill="1" applyBorder="1" applyAlignment="1">
      <alignment horizontal="right" vertical="center" shrinkToFit="1"/>
    </xf>
    <xf numFmtId="0" fontId="7" fillId="2" borderId="0" xfId="109" applyFont="1" applyFill="1" applyAlignment="1">
      <alignment vertical="center"/>
    </xf>
    <xf numFmtId="0" fontId="2" fillId="2" borderId="0" xfId="109" applyFont="1" applyFill="1" applyAlignment="1">
      <alignment vertical="center"/>
    </xf>
    <xf numFmtId="0" fontId="0" fillId="0" borderId="0" xfId="109" applyAlignment="1">
      <alignment vertical="center"/>
    </xf>
    <xf numFmtId="0" fontId="25" fillId="2" borderId="0" xfId="213" applyFont="1" applyFill="1">
      <alignment vertical="center"/>
    </xf>
    <xf numFmtId="0" fontId="7" fillId="2" borderId="0" xfId="213" applyFont="1" applyFill="1">
      <alignment vertical="center"/>
    </xf>
    <xf numFmtId="0" fontId="26" fillId="2" borderId="0" xfId="211" applyFont="1" applyFill="1" applyAlignment="1">
      <alignment horizontal="left" vertical="center"/>
    </xf>
    <xf numFmtId="0" fontId="7" fillId="2" borderId="0" xfId="211" applyFont="1" applyFill="1" applyAlignment="1">
      <alignment horizontal="left" vertical="center"/>
    </xf>
    <xf numFmtId="0" fontId="2" fillId="2" borderId="0" xfId="213" applyFont="1" applyFill="1">
      <alignment vertical="center"/>
    </xf>
    <xf numFmtId="49" fontId="2" fillId="2" borderId="0" xfId="213" applyNumberFormat="1" applyFont="1" applyFill="1" applyAlignment="1">
      <alignment horizontal="left" vertical="center"/>
    </xf>
    <xf numFmtId="0" fontId="2" fillId="2" borderId="0" xfId="213" applyFont="1" applyFill="1" applyAlignment="1">
      <alignment horizontal="left" vertical="center"/>
    </xf>
    <xf numFmtId="0" fontId="13" fillId="3" borderId="23" xfId="213" applyFont="1" applyFill="1" applyBorder="1" applyAlignment="1">
      <alignment horizontal="center" vertical="center"/>
    </xf>
    <xf numFmtId="0" fontId="13" fillId="3" borderId="24" xfId="213" applyFont="1" applyFill="1" applyBorder="1" applyAlignment="1">
      <alignment horizontal="center" vertical="center"/>
    </xf>
    <xf numFmtId="0" fontId="13" fillId="3" borderId="24" xfId="213" applyFont="1" applyFill="1" applyBorder="1" applyAlignment="1">
      <alignment horizontal="center" vertical="center" wrapText="1"/>
    </xf>
    <xf numFmtId="0" fontId="11" fillId="3" borderId="25" xfId="213" applyFont="1" applyFill="1" applyBorder="1" applyAlignment="1">
      <alignment horizontal="center" vertical="center"/>
    </xf>
    <xf numFmtId="0" fontId="13" fillId="3" borderId="26" xfId="213" applyFont="1" applyFill="1" applyBorder="1" applyAlignment="1">
      <alignment horizontal="center" vertical="center"/>
    </xf>
    <xf numFmtId="0" fontId="11" fillId="3" borderId="26" xfId="213" applyFont="1" applyFill="1" applyBorder="1" applyAlignment="1">
      <alignment horizontal="center" vertical="center"/>
    </xf>
    <xf numFmtId="0" fontId="14" fillId="0" borderId="25" xfId="213" applyFont="1" applyBorder="1" applyAlignment="1">
      <alignment horizontal="right" vertical="center" shrinkToFit="1"/>
    </xf>
    <xf numFmtId="14" fontId="14" fillId="0" borderId="26" xfId="213" applyNumberFormat="1" applyFont="1" applyBorder="1" applyAlignment="1">
      <alignment horizontal="right" vertical="center" shrinkToFit="1"/>
    </xf>
    <xf numFmtId="0" fontId="11" fillId="0" borderId="26" xfId="213" applyFont="1" applyBorder="1" applyAlignment="1">
      <alignment horizontal="center" vertical="center"/>
    </xf>
    <xf numFmtId="0" fontId="13" fillId="0" borderId="26" xfId="213" applyFont="1" applyBorder="1" applyAlignment="1">
      <alignment horizontal="left" vertical="center" wrapText="1"/>
    </xf>
    <xf numFmtId="176" fontId="14" fillId="0" borderId="26" xfId="239" applyFont="1" applyFill="1" applyBorder="1" applyAlignment="1">
      <alignment horizontal="right" vertical="center" shrinkToFit="1"/>
    </xf>
    <xf numFmtId="0" fontId="14" fillId="0" borderId="27" xfId="213" applyFont="1" applyBorder="1" applyAlignment="1">
      <alignment horizontal="right" vertical="center" shrinkToFit="1"/>
    </xf>
    <xf numFmtId="14" fontId="14" fillId="0" borderId="28" xfId="213" applyNumberFormat="1" applyFont="1" applyBorder="1" applyAlignment="1">
      <alignment horizontal="right" vertical="center" shrinkToFit="1"/>
    </xf>
    <xf numFmtId="0" fontId="11" fillId="0" borderId="28" xfId="213" applyFont="1" applyBorder="1" applyAlignment="1">
      <alignment horizontal="center" vertical="center"/>
    </xf>
    <xf numFmtId="0" fontId="13" fillId="0" borderId="28" xfId="213" applyFont="1" applyBorder="1" applyAlignment="1">
      <alignment horizontal="left" vertical="center" wrapText="1"/>
    </xf>
    <xf numFmtId="176" fontId="14" fillId="0" borderId="28" xfId="239" applyFont="1" applyFill="1" applyBorder="1" applyAlignment="1">
      <alignment horizontal="right" vertical="center" shrinkToFit="1"/>
    </xf>
    <xf numFmtId="0" fontId="27" fillId="0" borderId="0" xfId="213" applyFont="1" applyAlignment="1">
      <alignment horizontal="left" vertical="center"/>
    </xf>
    <xf numFmtId="0" fontId="28" fillId="0" borderId="0" xfId="213" applyFont="1">
      <alignment vertical="center"/>
    </xf>
    <xf numFmtId="0" fontId="27" fillId="0" borderId="0" xfId="213" applyFont="1" applyAlignment="1">
      <alignment horizontal="left" vertical="center" wrapText="1"/>
    </xf>
    <xf numFmtId="0" fontId="7" fillId="0" borderId="0" xfId="213" applyFont="1">
      <alignment vertical="center"/>
    </xf>
    <xf numFmtId="0" fontId="11" fillId="0" borderId="0" xfId="213" applyFont="1">
      <alignment vertical="center"/>
    </xf>
    <xf numFmtId="0" fontId="13" fillId="0" borderId="8" xfId="205" applyFont="1" applyBorder="1" applyAlignment="1">
      <alignment horizontal="left" vertical="center"/>
    </xf>
    <xf numFmtId="0" fontId="13" fillId="0" borderId="9" xfId="205" applyFont="1" applyBorder="1" applyAlignment="1">
      <alignment horizontal="left" vertical="center"/>
    </xf>
    <xf numFmtId="0" fontId="13" fillId="0" borderId="10" xfId="205" applyFont="1" applyBorder="1" applyAlignment="1">
      <alignment horizontal="left" vertical="center"/>
    </xf>
    <xf numFmtId="0" fontId="13" fillId="0" borderId="0" xfId="205" applyFont="1" applyAlignment="1">
      <alignment horizontal="left" vertical="center"/>
    </xf>
    <xf numFmtId="0" fontId="13" fillId="0" borderId="11" xfId="205" applyFont="1" applyBorder="1" applyAlignment="1">
      <alignment horizontal="left" vertical="center"/>
    </xf>
    <xf numFmtId="0" fontId="13" fillId="0" borderId="12" xfId="205" applyFont="1" applyBorder="1" applyAlignment="1">
      <alignment horizontal="left" vertical="center"/>
    </xf>
    <xf numFmtId="0" fontId="13" fillId="0" borderId="0" xfId="109" applyFont="1" applyAlignment="1">
      <alignment vertical="center"/>
    </xf>
    <xf numFmtId="0" fontId="2" fillId="2" borderId="0" xfId="213" applyFont="1" applyFill="1" applyAlignment="1">
      <alignment horizontal="right" vertical="center"/>
    </xf>
    <xf numFmtId="0" fontId="15" fillId="2" borderId="0" xfId="211" applyFont="1" applyFill="1" applyAlignment="1">
      <alignment horizontal="left" vertical="center"/>
    </xf>
    <xf numFmtId="188" fontId="7" fillId="2" borderId="0" xfId="213" applyNumberFormat="1" applyFont="1" applyFill="1" applyAlignment="1">
      <alignment horizontal="right" vertical="center" shrinkToFit="1"/>
    </xf>
    <xf numFmtId="14" fontId="7" fillId="2" borderId="0" xfId="209" applyNumberFormat="1" applyFont="1" applyFill="1" applyAlignment="1">
      <alignment horizontal="right" vertical="center" shrinkToFit="1"/>
    </xf>
    <xf numFmtId="0" fontId="11" fillId="3" borderId="24" xfId="213" applyFont="1" applyFill="1" applyBorder="1" applyAlignment="1">
      <alignment horizontal="center" vertical="center"/>
    </xf>
    <xf numFmtId="0" fontId="13" fillId="3" borderId="29" xfId="213" applyFont="1" applyFill="1" applyBorder="1" applyAlignment="1">
      <alignment horizontal="center" vertical="center"/>
    </xf>
    <xf numFmtId="0" fontId="11" fillId="3" borderId="30" xfId="213" applyFont="1" applyFill="1" applyBorder="1" applyAlignment="1">
      <alignment horizontal="center" vertical="center"/>
    </xf>
    <xf numFmtId="0" fontId="1" fillId="4" borderId="26" xfId="213" applyFont="1" applyFill="1" applyBorder="1" applyAlignment="1">
      <alignment horizontal="center" vertical="center"/>
    </xf>
    <xf numFmtId="0" fontId="13" fillId="0" borderId="30" xfId="239" applyNumberFormat="1" applyFont="1" applyFill="1" applyBorder="1" applyAlignment="1">
      <alignment horizontal="left" vertical="center" wrapText="1"/>
    </xf>
    <xf numFmtId="0" fontId="11" fillId="0" borderId="30" xfId="239" applyNumberFormat="1" applyFont="1" applyFill="1" applyBorder="1" applyAlignment="1">
      <alignment horizontal="left" vertical="center" wrapText="1"/>
    </xf>
    <xf numFmtId="0" fontId="1" fillId="4" borderId="28" xfId="213" applyFont="1" applyFill="1" applyBorder="1" applyAlignment="1">
      <alignment horizontal="center" vertical="center"/>
    </xf>
    <xf numFmtId="0" fontId="11" fillId="0" borderId="31" xfId="239" applyNumberFormat="1" applyFont="1" applyFill="1" applyBorder="1" applyAlignment="1">
      <alignment horizontal="left" vertical="center" wrapText="1"/>
    </xf>
    <xf numFmtId="0" fontId="13" fillId="0" borderId="16" xfId="205" applyFont="1" applyBorder="1" applyAlignment="1">
      <alignment horizontal="left" vertical="center"/>
    </xf>
    <xf numFmtId="0" fontId="13" fillId="0" borderId="17" xfId="205" applyFont="1" applyBorder="1" applyAlignment="1">
      <alignment horizontal="left" vertical="center"/>
    </xf>
    <xf numFmtId="0" fontId="13" fillId="0" borderId="18" xfId="205" applyFont="1" applyBorder="1" applyAlignment="1">
      <alignment horizontal="left" vertical="center"/>
    </xf>
    <xf numFmtId="0" fontId="7" fillId="2" borderId="0" xfId="209" applyFont="1" applyFill="1" applyAlignment="1">
      <alignment vertical="center"/>
    </xf>
    <xf numFmtId="0" fontId="14" fillId="0" borderId="0" xfId="209" applyFont="1" applyAlignment="1">
      <alignment vertical="center" wrapText="1"/>
    </xf>
    <xf numFmtId="0" fontId="29" fillId="0" borderId="0" xfId="209" applyFont="1" applyAlignment="1">
      <alignment vertical="center"/>
    </xf>
    <xf numFmtId="0" fontId="14" fillId="0" borderId="0" xfId="209" applyFont="1" applyAlignment="1">
      <alignment vertical="center"/>
    </xf>
    <xf numFmtId="0" fontId="14" fillId="0" borderId="0" xfId="209" applyFont="1" applyAlignment="1">
      <alignment vertical="center" shrinkToFit="1"/>
    </xf>
    <xf numFmtId="176" fontId="14" fillId="0" borderId="0" xfId="1" applyFont="1" applyFill="1" applyAlignment="1">
      <alignment vertical="center"/>
    </xf>
    <xf numFmtId="0" fontId="25" fillId="2" borderId="0" xfId="218" applyFont="1" applyFill="1">
      <alignment vertical="center"/>
    </xf>
    <xf numFmtId="0" fontId="7" fillId="2" borderId="0" xfId="218" applyFont="1" applyFill="1">
      <alignment vertical="center"/>
    </xf>
    <xf numFmtId="0" fontId="7" fillId="2" borderId="0" xfId="218" applyFont="1" applyFill="1" applyAlignment="1">
      <alignment vertical="center" shrinkToFit="1"/>
    </xf>
    <xf numFmtId="0" fontId="30" fillId="2" borderId="0" xfId="211" applyFont="1" applyFill="1" applyAlignment="1">
      <alignment horizontal="right" vertical="center" shrinkToFit="1"/>
    </xf>
    <xf numFmtId="0" fontId="30" fillId="2" borderId="0" xfId="211" applyFont="1" applyFill="1" applyAlignment="1">
      <alignment horizontal="right" vertical="center"/>
    </xf>
    <xf numFmtId="0" fontId="2" fillId="2" borderId="0" xfId="211" applyFont="1" applyFill="1" applyAlignment="1">
      <alignment horizontal="right" vertical="center" shrinkToFit="1"/>
    </xf>
    <xf numFmtId="0" fontId="7" fillId="2" borderId="0" xfId="211" applyFont="1" applyFill="1" applyAlignment="1">
      <alignment horizontal="right" vertical="center" shrinkToFit="1"/>
    </xf>
    <xf numFmtId="0" fontId="7" fillId="2" borderId="0" xfId="211" applyFont="1" applyFill="1" applyAlignment="1">
      <alignment horizontal="right" vertical="center"/>
    </xf>
    <xf numFmtId="0" fontId="31" fillId="0" borderId="12" xfId="211" applyFont="1" applyBorder="1" applyAlignment="1">
      <alignment horizontal="left" vertical="center"/>
    </xf>
    <xf numFmtId="0" fontId="31" fillId="0" borderId="12" xfId="211" applyFont="1" applyBorder="1" applyAlignment="1">
      <alignment horizontal="right" vertical="center" shrinkToFit="1"/>
    </xf>
    <xf numFmtId="0" fontId="31" fillId="0" borderId="12" xfId="211" applyFont="1" applyBorder="1" applyAlignment="1">
      <alignment horizontal="right" vertical="center"/>
    </xf>
    <xf numFmtId="0" fontId="1" fillId="3" borderId="19" xfId="0" applyFont="1" applyFill="1" applyBorder="1" applyAlignment="1">
      <alignment horizontal="center" vertical="center" wrapText="1"/>
    </xf>
    <xf numFmtId="0" fontId="1" fillId="3" borderId="32" xfId="0" applyFont="1" applyFill="1" applyBorder="1" applyAlignment="1">
      <alignment horizontal="center" vertical="center" wrapText="1"/>
    </xf>
    <xf numFmtId="0" fontId="1" fillId="3" borderId="3" xfId="0" applyFont="1" applyFill="1" applyBorder="1" applyAlignment="1">
      <alignment horizontal="center" vertical="center" wrapText="1" shrinkToFit="1"/>
    </xf>
    <xf numFmtId="0" fontId="1" fillId="3" borderId="3" xfId="0" applyFont="1" applyFill="1" applyBorder="1" applyAlignment="1">
      <alignment horizontal="center" vertical="center" wrapText="1"/>
    </xf>
    <xf numFmtId="0" fontId="1" fillId="3" borderId="3" xfId="1" applyNumberFormat="1" applyFont="1" applyFill="1" applyBorder="1" applyAlignment="1">
      <alignment horizontal="center" vertical="center" shrinkToFit="1"/>
    </xf>
    <xf numFmtId="0" fontId="13" fillId="0" borderId="4" xfId="0" applyFont="1" applyBorder="1" applyAlignment="1">
      <alignment horizontal="left" vertical="center"/>
    </xf>
    <xf numFmtId="0" fontId="13" fillId="0" borderId="33" xfId="0" applyFont="1" applyBorder="1" applyAlignment="1">
      <alignment horizontal="left" vertical="center"/>
    </xf>
    <xf numFmtId="0" fontId="14" fillId="0" borderId="5" xfId="0" applyFont="1" applyBorder="1" applyAlignment="1">
      <alignment horizontal="center" vertical="center" shrinkToFit="1"/>
    </xf>
    <xf numFmtId="189" fontId="14" fillId="0" borderId="5" xfId="0" applyNumberFormat="1" applyFont="1" applyBorder="1" applyAlignment="1">
      <alignment horizontal="right" vertical="center" shrinkToFit="1"/>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4" fillId="0" borderId="33" xfId="0" applyFont="1" applyBorder="1" applyAlignment="1">
      <alignment horizontal="center" vertical="center"/>
    </xf>
    <xf numFmtId="0" fontId="13" fillId="0" borderId="5" xfId="0" applyFont="1" applyBorder="1" applyAlignment="1">
      <alignment horizontal="center" vertical="center" shrinkToFit="1"/>
    </xf>
    <xf numFmtId="0" fontId="13" fillId="0" borderId="5" xfId="0" applyFont="1" applyBorder="1" applyAlignment="1">
      <alignment vertical="center" wrapText="1" shrinkToFit="1"/>
    </xf>
    <xf numFmtId="0" fontId="13" fillId="0" borderId="5" xfId="0" applyFont="1" applyBorder="1" applyAlignment="1">
      <alignment vertical="center" shrinkToFit="1"/>
    </xf>
    <xf numFmtId="0" fontId="14" fillId="0" borderId="33" xfId="0" applyFont="1" applyFill="1" applyBorder="1" applyAlignment="1">
      <alignment horizontal="center" vertical="center"/>
    </xf>
    <xf numFmtId="0" fontId="13" fillId="0" borderId="5" xfId="0" applyFont="1" applyFill="1" applyBorder="1" applyAlignment="1">
      <alignment horizontal="center" vertical="center" shrinkToFit="1"/>
    </xf>
    <xf numFmtId="0" fontId="14" fillId="0" borderId="5" xfId="0" applyFont="1" applyFill="1" applyBorder="1" applyAlignment="1">
      <alignment horizontal="center" vertical="center" shrinkToFit="1"/>
    </xf>
    <xf numFmtId="189" fontId="14" fillId="0" borderId="5" xfId="0" applyNumberFormat="1" applyFont="1" applyFill="1" applyBorder="1" applyAlignment="1">
      <alignment horizontal="right" vertical="center" shrinkToFit="1"/>
    </xf>
    <xf numFmtId="0" fontId="14" fillId="0" borderId="5" xfId="0" applyFont="1" applyFill="1" applyBorder="1" applyAlignment="1">
      <alignment horizontal="center" vertical="center"/>
    </xf>
    <xf numFmtId="0" fontId="13" fillId="0" borderId="5" xfId="0" applyFont="1" applyFill="1" applyBorder="1" applyAlignment="1">
      <alignment vertical="center" shrinkToFit="1"/>
    </xf>
    <xf numFmtId="0" fontId="13" fillId="0" borderId="33" xfId="0" applyFont="1" applyBorder="1" applyAlignment="1">
      <alignment horizontal="center" vertical="center"/>
    </xf>
    <xf numFmtId="0" fontId="14" fillId="0" borderId="6" xfId="0" applyFont="1" applyBorder="1" applyAlignment="1">
      <alignment horizontal="center" vertical="center"/>
    </xf>
    <xf numFmtId="0" fontId="14" fillId="0" borderId="34" xfId="0" applyFont="1" applyBorder="1" applyAlignment="1">
      <alignment horizontal="center" vertical="center"/>
    </xf>
    <xf numFmtId="0" fontId="13" fillId="0" borderId="7" xfId="0" applyFont="1" applyBorder="1" applyAlignment="1">
      <alignment horizontal="center" vertical="center" shrinkToFit="1"/>
    </xf>
    <xf numFmtId="0" fontId="14" fillId="0" borderId="7" xfId="0" applyFont="1" applyBorder="1" applyAlignment="1">
      <alignment horizontal="center" vertical="center" shrinkToFit="1"/>
    </xf>
    <xf numFmtId="189" fontId="14" fillId="0" borderId="7" xfId="0" applyNumberFormat="1" applyFont="1" applyBorder="1" applyAlignment="1">
      <alignment horizontal="right" vertical="center" shrinkToFit="1"/>
    </xf>
    <xf numFmtId="0" fontId="14" fillId="0" borderId="7" xfId="0" applyFont="1" applyBorder="1" applyAlignment="1">
      <alignment horizontal="center" vertical="center"/>
    </xf>
    <xf numFmtId="0" fontId="13" fillId="0" borderId="7" xfId="0" applyFont="1" applyBorder="1" applyAlignment="1">
      <alignment vertical="center" shrinkToFit="1"/>
    </xf>
    <xf numFmtId="0" fontId="14" fillId="0" borderId="0" xfId="0" applyFont="1" applyAlignment="1">
      <alignment horizontal="center" vertical="center"/>
    </xf>
    <xf numFmtId="0" fontId="13" fillId="0" borderId="0" xfId="0" applyFont="1" applyAlignment="1">
      <alignment horizontal="center" vertical="center" shrinkToFit="1"/>
    </xf>
    <xf numFmtId="0" fontId="14" fillId="0" borderId="0" xfId="0" applyFont="1" applyAlignment="1">
      <alignment horizontal="center" vertical="center" shrinkToFit="1"/>
    </xf>
    <xf numFmtId="189" fontId="14" fillId="0" borderId="0" xfId="0" applyNumberFormat="1" applyFont="1" applyAlignment="1">
      <alignment horizontal="right" vertical="center" shrinkToFit="1"/>
    </xf>
    <xf numFmtId="0" fontId="13" fillId="0" borderId="0" xfId="0" applyFont="1" applyAlignment="1">
      <alignment vertical="center" shrinkToFit="1"/>
    </xf>
    <xf numFmtId="0" fontId="31" fillId="0" borderId="0" xfId="0" applyFont="1" applyAlignment="1">
      <alignment horizontal="left" vertical="center"/>
    </xf>
    <xf numFmtId="0" fontId="14" fillId="0" borderId="0" xfId="0" applyFont="1" applyAlignment="1">
      <alignment vertical="center" shrinkToFit="1"/>
    </xf>
    <xf numFmtId="0" fontId="14" fillId="0" borderId="0" xfId="0" applyFont="1" applyAlignment="1">
      <alignment vertical="center"/>
    </xf>
    <xf numFmtId="190" fontId="14" fillId="0" borderId="5" xfId="0" applyNumberFormat="1" applyFont="1" applyBorder="1" applyAlignment="1">
      <alignment horizontal="right" vertical="center" shrinkToFit="1"/>
    </xf>
    <xf numFmtId="0" fontId="31" fillId="0" borderId="0" xfId="0" applyFont="1" applyAlignment="1">
      <alignment vertical="center"/>
    </xf>
    <xf numFmtId="0" fontId="14" fillId="0" borderId="0" xfId="0" applyFont="1" applyAlignment="1">
      <alignment horizontal="justify" vertical="center" shrinkToFit="1"/>
    </xf>
    <xf numFmtId="0" fontId="14" fillId="0" borderId="0" xfId="0" applyFont="1" applyAlignment="1">
      <alignment horizontal="justify" vertical="center" wrapText="1"/>
    </xf>
    <xf numFmtId="176" fontId="14" fillId="0" borderId="0" xfId="1" applyFont="1" applyBorder="1" applyAlignment="1">
      <alignment horizontal="right" vertical="center" shrinkToFit="1"/>
    </xf>
    <xf numFmtId="0" fontId="13" fillId="0" borderId="8" xfId="0" applyFont="1" applyBorder="1" applyAlignment="1">
      <alignment horizontal="left" vertical="center"/>
    </xf>
    <xf numFmtId="0" fontId="31" fillId="0" borderId="9" xfId="0" applyFont="1" applyBorder="1" applyAlignment="1">
      <alignment horizontal="left" vertical="center"/>
    </xf>
    <xf numFmtId="0" fontId="14" fillId="0" borderId="9" xfId="0" applyFont="1" applyBorder="1" applyAlignment="1">
      <alignment horizontal="left" vertical="center" shrinkToFit="1"/>
    </xf>
    <xf numFmtId="0" fontId="14" fillId="0" borderId="9" xfId="0" applyFont="1" applyBorder="1" applyAlignment="1">
      <alignment horizontal="center" vertical="center" shrinkToFit="1"/>
    </xf>
    <xf numFmtId="0" fontId="14" fillId="0" borderId="9" xfId="0" applyFont="1" applyBorder="1" applyAlignment="1">
      <alignment horizontal="center" vertical="center" wrapText="1"/>
    </xf>
    <xf numFmtId="0" fontId="31" fillId="0" borderId="10" xfId="0" applyFont="1" applyBorder="1" applyAlignment="1">
      <alignment vertical="center"/>
    </xf>
    <xf numFmtId="0" fontId="31" fillId="0" borderId="0" xfId="0" applyFont="1" applyAlignment="1">
      <alignment vertical="center" shrinkToFit="1"/>
    </xf>
    <xf numFmtId="0" fontId="14" fillId="0" borderId="11" xfId="0" applyFont="1" applyBorder="1" applyAlignment="1">
      <alignment vertical="center"/>
    </xf>
    <xf numFmtId="0" fontId="14" fillId="0" borderId="12" xfId="0" applyFont="1" applyBorder="1" applyAlignment="1">
      <alignment vertical="center"/>
    </xf>
    <xf numFmtId="0" fontId="14" fillId="0" borderId="12" xfId="0" applyFont="1" applyBorder="1" applyAlignment="1">
      <alignment vertical="center" shrinkToFit="1"/>
    </xf>
    <xf numFmtId="0" fontId="29" fillId="0" borderId="0" xfId="209" applyFont="1" applyAlignment="1">
      <alignment vertical="center" shrinkToFit="1"/>
    </xf>
    <xf numFmtId="191" fontId="30" fillId="2" borderId="0" xfId="211" applyNumberFormat="1" applyFont="1" applyFill="1" applyAlignment="1">
      <alignment horizontal="left" vertical="center"/>
    </xf>
    <xf numFmtId="192" fontId="30" fillId="2" borderId="0" xfId="211" applyNumberFormat="1" applyFont="1" applyFill="1" applyAlignment="1">
      <alignment horizontal="left" vertical="center"/>
    </xf>
    <xf numFmtId="0" fontId="31" fillId="0" borderId="12" xfId="209" applyFont="1" applyBorder="1" applyAlignment="1">
      <alignment vertical="center"/>
    </xf>
    <xf numFmtId="0" fontId="1" fillId="3" borderId="3" xfId="1" applyNumberFormat="1" applyFont="1" applyFill="1" applyBorder="1" applyAlignment="1">
      <alignment horizontal="center" vertical="center" wrapText="1"/>
    </xf>
    <xf numFmtId="0" fontId="1" fillId="3" borderId="13" xfId="0" applyFont="1" applyFill="1" applyBorder="1" applyAlignment="1">
      <alignment horizontal="center" vertical="center" wrapText="1"/>
    </xf>
    <xf numFmtId="14" fontId="14" fillId="0" borderId="5" xfId="1" applyNumberFormat="1" applyFont="1" applyFill="1" applyBorder="1" applyAlignment="1">
      <alignment horizontal="right" vertical="center" shrinkToFit="1"/>
    </xf>
    <xf numFmtId="189" fontId="14" fillId="0" borderId="5" xfId="1" applyNumberFormat="1" applyFont="1" applyFill="1" applyBorder="1" applyAlignment="1">
      <alignment horizontal="right" vertical="center" shrinkToFit="1"/>
    </xf>
    <xf numFmtId="189" fontId="13" fillId="0" borderId="5" xfId="1" applyNumberFormat="1" applyFont="1" applyFill="1" applyBorder="1" applyAlignment="1">
      <alignment horizontal="right" vertical="center" shrinkToFit="1"/>
    </xf>
    <xf numFmtId="176" fontId="31" fillId="0" borderId="5" xfId="1" applyFont="1" applyFill="1" applyBorder="1" applyAlignment="1">
      <alignment horizontal="right" vertical="center" shrinkToFit="1"/>
    </xf>
    <xf numFmtId="176" fontId="14" fillId="0" borderId="5" xfId="1" applyFont="1" applyFill="1" applyBorder="1" applyAlignment="1">
      <alignment horizontal="right" vertical="center" shrinkToFit="1"/>
    </xf>
    <xf numFmtId="176" fontId="14" fillId="0" borderId="14" xfId="1" applyFont="1" applyFill="1" applyBorder="1" applyAlignment="1">
      <alignment horizontal="right" vertical="center" shrinkToFit="1"/>
    </xf>
    <xf numFmtId="189" fontId="13" fillId="0" borderId="5" xfId="1" applyNumberFormat="1" applyFont="1" applyFill="1" applyBorder="1" applyAlignment="1">
      <alignment horizontal="center" vertical="center" wrapText="1" shrinkToFit="1"/>
    </xf>
    <xf numFmtId="176" fontId="14" fillId="4" borderId="5" xfId="1" applyFont="1" applyFill="1" applyBorder="1" applyAlignment="1">
      <alignment horizontal="right" vertical="center" shrinkToFit="1"/>
    </xf>
    <xf numFmtId="190" fontId="14" fillId="0" borderId="5" xfId="1" applyNumberFormat="1" applyFont="1" applyFill="1" applyBorder="1" applyAlignment="1">
      <alignment horizontal="right" vertical="center" shrinkToFit="1"/>
    </xf>
    <xf numFmtId="176" fontId="14" fillId="0" borderId="7" xfId="1" applyFont="1" applyFill="1" applyBorder="1" applyAlignment="1">
      <alignment horizontal="right" vertical="center" shrinkToFit="1"/>
    </xf>
    <xf numFmtId="189" fontId="14" fillId="0" borderId="7" xfId="1" applyNumberFormat="1" applyFont="1" applyFill="1" applyBorder="1" applyAlignment="1">
      <alignment horizontal="right" vertical="center" shrinkToFit="1"/>
    </xf>
    <xf numFmtId="189" fontId="13" fillId="0" borderId="7" xfId="1" applyNumberFormat="1" applyFont="1" applyFill="1" applyBorder="1" applyAlignment="1">
      <alignment horizontal="right" vertical="center" shrinkToFit="1"/>
    </xf>
    <xf numFmtId="176" fontId="14" fillId="4" borderId="7" xfId="1" applyFont="1" applyFill="1" applyBorder="1" applyAlignment="1">
      <alignment horizontal="right" vertical="center" shrinkToFit="1"/>
    </xf>
    <xf numFmtId="176" fontId="14" fillId="0" borderId="15" xfId="1" applyFont="1" applyFill="1" applyBorder="1" applyAlignment="1">
      <alignment horizontal="right" vertical="center" shrinkToFit="1"/>
    </xf>
    <xf numFmtId="176" fontId="14" fillId="0" borderId="0" xfId="1" applyFont="1" applyFill="1" applyAlignment="1">
      <alignment horizontal="right" vertical="center" shrinkToFit="1"/>
    </xf>
    <xf numFmtId="189" fontId="14" fillId="0" borderId="0" xfId="1" applyNumberFormat="1" applyFont="1" applyFill="1" applyAlignment="1">
      <alignment horizontal="right" vertical="center" shrinkToFit="1"/>
    </xf>
    <xf numFmtId="189" fontId="13" fillId="0" borderId="5" xfId="0" applyNumberFormat="1" applyFont="1" applyFill="1" applyBorder="1" applyAlignment="1">
      <alignment horizontal="center" vertical="center" wrapText="1" shrinkToFit="1"/>
    </xf>
    <xf numFmtId="189" fontId="14" fillId="0" borderId="5" xfId="1" applyNumberFormat="1" applyFont="1" applyFill="1" applyBorder="1" applyAlignment="1">
      <alignment horizontal="center" vertical="center" wrapText="1" shrinkToFit="1"/>
    </xf>
    <xf numFmtId="0" fontId="14" fillId="0" borderId="0" xfId="0" applyFont="1" applyAlignment="1">
      <alignment horizontal="justify" vertical="center"/>
    </xf>
    <xf numFmtId="176" fontId="14" fillId="0" borderId="9" xfId="1" applyFont="1" applyBorder="1" applyAlignment="1">
      <alignment horizontal="right" vertical="center" shrinkToFit="1"/>
    </xf>
    <xf numFmtId="0" fontId="14" fillId="0" borderId="9" xfId="0" applyFont="1" applyBorder="1" applyAlignment="1">
      <alignment horizontal="justify" vertical="center" wrapText="1"/>
    </xf>
    <xf numFmtId="176" fontId="14" fillId="0" borderId="16" xfId="1" applyFont="1" applyFill="1" applyBorder="1" applyAlignment="1">
      <alignment horizontal="right" vertical="center" shrinkToFit="1"/>
    </xf>
    <xf numFmtId="176" fontId="31" fillId="0" borderId="0" xfId="1" applyFont="1" applyBorder="1" applyAlignment="1">
      <alignment horizontal="right" vertical="center" shrinkToFit="1"/>
    </xf>
    <xf numFmtId="176" fontId="14" fillId="0" borderId="17" xfId="1" applyFont="1" applyFill="1" applyBorder="1" applyAlignment="1">
      <alignment horizontal="right" vertical="center" shrinkToFit="1"/>
    </xf>
    <xf numFmtId="176" fontId="14" fillId="0" borderId="12" xfId="1" applyFont="1" applyBorder="1" applyAlignment="1">
      <alignment horizontal="right" vertical="center" shrinkToFit="1"/>
    </xf>
    <xf numFmtId="176" fontId="14" fillId="0" borderId="18" xfId="1" applyFont="1" applyFill="1" applyBorder="1" applyAlignment="1">
      <alignment horizontal="right" vertical="center" shrinkToFit="1"/>
    </xf>
    <xf numFmtId="176" fontId="29" fillId="0" borderId="0" xfId="1" applyFont="1" applyFill="1" applyAlignment="1">
      <alignment horizontal="right" vertical="center" shrinkToFit="1"/>
    </xf>
    <xf numFmtId="0" fontId="7" fillId="2" borderId="0" xfId="0" applyFont="1" applyFill="1" applyAlignment="1">
      <alignment vertical="center"/>
    </xf>
    <xf numFmtId="0" fontId="32" fillId="0" borderId="0" xfId="0" applyFont="1" applyAlignment="1">
      <alignment vertical="center"/>
    </xf>
    <xf numFmtId="0" fontId="33" fillId="0" borderId="0" xfId="0" applyFont="1" applyAlignment="1">
      <alignment vertical="center"/>
    </xf>
    <xf numFmtId="0" fontId="34" fillId="0" borderId="0" xfId="0" applyFont="1" applyAlignment="1">
      <alignment vertical="center"/>
    </xf>
    <xf numFmtId="176" fontId="34" fillId="0" borderId="0" xfId="1" applyFont="1" applyAlignment="1">
      <alignment vertical="center"/>
    </xf>
    <xf numFmtId="0" fontId="5" fillId="2" borderId="0" xfId="0" applyFont="1" applyFill="1" applyAlignment="1">
      <alignment vertical="center"/>
    </xf>
    <xf numFmtId="0" fontId="2" fillId="2" borderId="0" xfId="0" applyFont="1" applyFill="1" applyAlignment="1">
      <alignment vertical="center"/>
    </xf>
    <xf numFmtId="0" fontId="2" fillId="2" borderId="0" xfId="211" applyFont="1" applyFill="1" applyAlignment="1">
      <alignment horizontal="left" vertical="center"/>
    </xf>
    <xf numFmtId="0" fontId="2" fillId="2" borderId="0" xfId="211" applyFont="1" applyFill="1" applyAlignment="1">
      <alignment horizontal="right" vertical="center"/>
    </xf>
    <xf numFmtId="191" fontId="2" fillId="2" borderId="0" xfId="211" applyNumberFormat="1" applyFont="1" applyFill="1" applyAlignment="1">
      <alignment horizontal="left" vertical="center"/>
    </xf>
    <xf numFmtId="176" fontId="7" fillId="2" borderId="0" xfId="1" applyFont="1" applyFill="1" applyBorder="1" applyAlignment="1">
      <alignment horizontal="right" vertical="center" shrinkToFit="1"/>
    </xf>
    <xf numFmtId="0" fontId="34" fillId="3" borderId="19" xfId="0" applyFont="1" applyFill="1" applyBorder="1" applyAlignment="1">
      <alignment horizontal="center" vertical="center" wrapText="1"/>
    </xf>
    <xf numFmtId="0" fontId="34" fillId="3" borderId="32" xfId="0" applyFont="1" applyFill="1" applyBorder="1" applyAlignment="1">
      <alignment horizontal="center" vertical="center" wrapText="1"/>
    </xf>
    <xf numFmtId="0" fontId="34" fillId="3" borderId="3" xfId="0" applyFont="1" applyFill="1" applyBorder="1" applyAlignment="1">
      <alignment horizontal="center" vertical="center" wrapText="1"/>
    </xf>
    <xf numFmtId="0" fontId="14" fillId="3" borderId="3" xfId="1" applyNumberFormat="1" applyFont="1" applyFill="1" applyBorder="1" applyAlignment="1">
      <alignment horizontal="center" vertical="center" wrapText="1" shrinkToFit="1"/>
    </xf>
    <xf numFmtId="0" fontId="7" fillId="0" borderId="4" xfId="209" applyFont="1" applyBorder="1" applyAlignment="1">
      <alignment horizontal="left" vertical="center"/>
    </xf>
    <xf numFmtId="0" fontId="32" fillId="0" borderId="33" xfId="209" applyFont="1" applyBorder="1" applyAlignment="1">
      <alignment horizontal="left" vertical="center"/>
    </xf>
    <xf numFmtId="0" fontId="32" fillId="0" borderId="5" xfId="0" applyFont="1" applyBorder="1" applyAlignment="1">
      <alignment horizontal="center" vertical="center"/>
    </xf>
    <xf numFmtId="0" fontId="31" fillId="0" borderId="5" xfId="0" applyFont="1" applyBorder="1" applyAlignment="1">
      <alignment horizontal="center" vertical="center"/>
    </xf>
    <xf numFmtId="0" fontId="31" fillId="0" borderId="5" xfId="0" applyFont="1" applyBorder="1" applyAlignment="1">
      <alignment horizontal="center" vertical="center" wrapText="1"/>
    </xf>
    <xf numFmtId="176" fontId="31" fillId="4" borderId="5" xfId="1" applyFont="1" applyFill="1" applyBorder="1" applyAlignment="1">
      <alignment horizontal="right" vertical="center" shrinkToFit="1"/>
    </xf>
    <xf numFmtId="0" fontId="34" fillId="0" borderId="4" xfId="0" applyFont="1" applyBorder="1" applyAlignment="1">
      <alignment horizontal="center" vertical="center"/>
    </xf>
    <xf numFmtId="0" fontId="34" fillId="0" borderId="33" xfId="0" applyFont="1" applyBorder="1" applyAlignment="1">
      <alignment horizontal="center" vertical="center"/>
    </xf>
    <xf numFmtId="0" fontId="34" fillId="0" borderId="5" xfId="0" applyFont="1" applyBorder="1" applyAlignment="1">
      <alignment horizontal="center" vertical="center"/>
    </xf>
    <xf numFmtId="0" fontId="14" fillId="0" borderId="5" xfId="0" applyFont="1" applyBorder="1" applyAlignment="1">
      <alignment horizontal="center" vertical="center" wrapText="1"/>
    </xf>
    <xf numFmtId="0" fontId="34" fillId="0" borderId="4" xfId="209" applyFont="1" applyBorder="1" applyAlignment="1">
      <alignment horizontal="left" vertical="center"/>
    </xf>
    <xf numFmtId="0" fontId="34" fillId="0" borderId="33" xfId="209" applyFont="1" applyBorder="1" applyAlignment="1">
      <alignment horizontal="left" vertical="center"/>
    </xf>
    <xf numFmtId="0" fontId="13" fillId="0" borderId="35" xfId="0" applyFont="1" applyBorder="1" applyAlignment="1">
      <alignment horizontal="center" vertical="center"/>
    </xf>
    <xf numFmtId="0" fontId="34" fillId="0" borderId="36" xfId="0" applyFont="1" applyBorder="1" applyAlignment="1">
      <alignment horizontal="center" vertical="center"/>
    </xf>
    <xf numFmtId="0" fontId="34" fillId="0" borderId="34" xfId="0" applyFont="1" applyBorder="1" applyAlignment="1">
      <alignment horizontal="center" vertical="center"/>
    </xf>
    <xf numFmtId="176" fontId="14" fillId="0" borderId="0" xfId="1" applyFont="1" applyAlignment="1">
      <alignment horizontal="right" vertical="center" shrinkToFit="1"/>
    </xf>
    <xf numFmtId="0" fontId="7" fillId="0" borderId="0" xfId="0" applyFont="1" applyAlignment="1">
      <alignment horizontal="left" vertical="center"/>
    </xf>
    <xf numFmtId="0" fontId="34" fillId="0" borderId="0" xfId="0" applyFont="1" applyAlignment="1">
      <alignment horizontal="center" vertical="center"/>
    </xf>
    <xf numFmtId="176" fontId="14" fillId="0" borderId="0" xfId="1" applyFont="1" applyFill="1" applyBorder="1" applyAlignment="1">
      <alignment horizontal="right" vertical="center" shrinkToFit="1"/>
    </xf>
    <xf numFmtId="0" fontId="7" fillId="0" borderId="8" xfId="0" applyFont="1" applyBorder="1" applyAlignment="1">
      <alignment vertical="center"/>
    </xf>
    <xf numFmtId="0" fontId="32" fillId="0" borderId="9" xfId="0" applyFont="1" applyBorder="1" applyAlignment="1">
      <alignment vertical="center"/>
    </xf>
    <xf numFmtId="0" fontId="35" fillId="0" borderId="9" xfId="0" applyFont="1" applyBorder="1" applyAlignment="1">
      <alignment vertical="center"/>
    </xf>
    <xf numFmtId="176" fontId="4" fillId="0" borderId="9" xfId="1" applyFont="1" applyBorder="1" applyAlignment="1">
      <alignment horizontal="right" vertical="center" shrinkToFit="1"/>
    </xf>
    <xf numFmtId="0" fontId="32" fillId="0" borderId="10" xfId="0" applyFont="1" applyBorder="1" applyAlignment="1">
      <alignment vertical="center"/>
    </xf>
    <xf numFmtId="0" fontId="35" fillId="0" borderId="0" xfId="0" applyFont="1" applyAlignment="1">
      <alignment vertical="center"/>
    </xf>
    <xf numFmtId="176" fontId="4" fillId="0" borderId="0" xfId="1" applyFont="1" applyBorder="1" applyAlignment="1">
      <alignment horizontal="right" vertical="center" shrinkToFit="1"/>
    </xf>
    <xf numFmtId="0" fontId="35" fillId="0" borderId="11" xfId="0" applyFont="1" applyBorder="1" applyAlignment="1">
      <alignment vertical="center"/>
    </xf>
    <xf numFmtId="0" fontId="35" fillId="0" borderId="12" xfId="0" applyFont="1" applyBorder="1" applyAlignment="1">
      <alignment vertical="center"/>
    </xf>
    <xf numFmtId="176" fontId="4" fillId="0" borderId="12" xfId="1" applyFont="1" applyBorder="1" applyAlignment="1">
      <alignment horizontal="right" vertical="center" shrinkToFit="1"/>
    </xf>
    <xf numFmtId="0" fontId="33" fillId="0" borderId="0" xfId="209" applyFont="1" applyAlignment="1">
      <alignment vertical="center"/>
    </xf>
    <xf numFmtId="176" fontId="29" fillId="0" borderId="0" xfId="1" applyFont="1" applyAlignment="1">
      <alignment horizontal="right" vertical="center" shrinkToFit="1"/>
    </xf>
    <xf numFmtId="0" fontId="14" fillId="3" borderId="37" xfId="1" applyNumberFormat="1" applyFont="1" applyFill="1" applyBorder="1" applyAlignment="1">
      <alignment horizontal="center" vertical="center" wrapText="1" shrinkToFit="1"/>
    </xf>
    <xf numFmtId="0" fontId="34" fillId="3" borderId="13" xfId="0" applyFont="1" applyFill="1" applyBorder="1" applyAlignment="1">
      <alignment horizontal="center" vertical="center" wrapText="1"/>
    </xf>
    <xf numFmtId="0" fontId="32" fillId="0" borderId="14" xfId="0" applyFont="1" applyBorder="1" applyAlignment="1">
      <alignment horizontal="left" vertical="center" wrapText="1"/>
    </xf>
    <xf numFmtId="176" fontId="14" fillId="4" borderId="38" xfId="1" applyFont="1" applyFill="1" applyBorder="1" applyAlignment="1">
      <alignment horizontal="right" vertical="center" shrinkToFit="1"/>
    </xf>
    <xf numFmtId="0" fontId="34" fillId="0" borderId="14" xfId="0" applyFont="1" applyBorder="1" applyAlignment="1">
      <alignment horizontal="left" vertical="center" wrapText="1"/>
    </xf>
    <xf numFmtId="0" fontId="34" fillId="0" borderId="15" xfId="0" applyFont="1" applyBorder="1" applyAlignment="1">
      <alignment horizontal="left" vertical="center" wrapText="1"/>
    </xf>
    <xf numFmtId="0" fontId="34" fillId="0" borderId="0" xfId="0" applyFont="1" applyAlignment="1">
      <alignment horizontal="left" vertical="center" wrapText="1"/>
    </xf>
    <xf numFmtId="176" fontId="4" fillId="0" borderId="16" xfId="1" applyFont="1" applyBorder="1" applyAlignment="1">
      <alignment horizontal="right" vertical="center" shrinkToFit="1"/>
    </xf>
    <xf numFmtId="176" fontId="4" fillId="0" borderId="17" xfId="1" applyFont="1" applyBorder="1" applyAlignment="1">
      <alignment horizontal="right" vertical="center" shrinkToFit="1"/>
    </xf>
    <xf numFmtId="176" fontId="4" fillId="0" borderId="18" xfId="1" applyFont="1" applyBorder="1" applyAlignment="1">
      <alignment horizontal="right" vertical="center" shrinkToFit="1"/>
    </xf>
    <xf numFmtId="0" fontId="13" fillId="5" borderId="0" xfId="215" applyFont="1" applyFill="1" applyAlignment="1">
      <alignment vertical="center"/>
    </xf>
    <xf numFmtId="0" fontId="5" fillId="2" borderId="0" xfId="218" applyFont="1" applyFill="1">
      <alignment vertical="center"/>
    </xf>
    <xf numFmtId="0" fontId="2" fillId="2" borderId="0" xfId="218" applyFont="1" applyFill="1">
      <alignment vertical="center"/>
    </xf>
    <xf numFmtId="0" fontId="7" fillId="2" borderId="12" xfId="211" applyFont="1" applyFill="1" applyBorder="1" applyAlignment="1">
      <alignment horizontal="left" vertical="center"/>
    </xf>
    <xf numFmtId="0" fontId="7" fillId="2" borderId="12" xfId="211" applyFont="1" applyFill="1" applyBorder="1" applyAlignment="1">
      <alignment horizontal="right" vertical="center"/>
    </xf>
    <xf numFmtId="0" fontId="13" fillId="3" borderId="19" xfId="209" applyFont="1" applyFill="1" applyBorder="1" applyAlignment="1">
      <alignment horizontal="center" vertical="center" wrapText="1"/>
    </xf>
    <xf numFmtId="0" fontId="13" fillId="3" borderId="32" xfId="209" applyFont="1" applyFill="1" applyBorder="1" applyAlignment="1">
      <alignment horizontal="center" vertical="center" wrapText="1"/>
    </xf>
    <xf numFmtId="0" fontId="13" fillId="3" borderId="3" xfId="209" applyFont="1" applyFill="1" applyBorder="1" applyAlignment="1">
      <alignment horizontal="center" vertical="center" wrapText="1"/>
    </xf>
    <xf numFmtId="0" fontId="14" fillId="3" borderId="3" xfId="209" applyFont="1" applyFill="1" applyBorder="1" applyAlignment="1">
      <alignment horizontal="center" vertical="center" wrapText="1"/>
    </xf>
    <xf numFmtId="0" fontId="13" fillId="0" borderId="4" xfId="209" applyFont="1" applyBorder="1" applyAlignment="1">
      <alignment vertical="center"/>
    </xf>
    <xf numFmtId="0" fontId="13" fillId="0" borderId="33" xfId="209" applyFont="1" applyBorder="1" applyAlignment="1">
      <alignment horizontal="center" vertical="center"/>
    </xf>
    <xf numFmtId="0" fontId="13" fillId="0" borderId="5" xfId="209" applyFont="1" applyBorder="1" applyAlignment="1">
      <alignment horizontal="center" vertical="center"/>
    </xf>
    <xf numFmtId="176" fontId="14" fillId="0" borderId="5" xfId="209" applyNumberFormat="1" applyFont="1" applyBorder="1" applyAlignment="1">
      <alignment horizontal="right" vertical="center" shrinkToFit="1"/>
    </xf>
    <xf numFmtId="176" fontId="14" fillId="0" borderId="5" xfId="1" applyFont="1" applyBorder="1" applyAlignment="1">
      <alignment horizontal="right" vertical="center" shrinkToFit="1"/>
    </xf>
    <xf numFmtId="0" fontId="13" fillId="0" borderId="33" xfId="209" applyFont="1" applyBorder="1" applyAlignment="1">
      <alignment vertical="center"/>
    </xf>
    <xf numFmtId="0" fontId="13" fillId="0" borderId="39" xfId="209" applyFont="1" applyBorder="1" applyAlignment="1">
      <alignment vertical="center"/>
    </xf>
    <xf numFmtId="0" fontId="13" fillId="0" borderId="40" xfId="209" applyFont="1" applyBorder="1" applyAlignment="1">
      <alignment vertical="center"/>
    </xf>
    <xf numFmtId="0" fontId="13" fillId="0" borderId="41" xfId="209" applyFont="1" applyBorder="1" applyAlignment="1">
      <alignment horizontal="center" vertical="center"/>
    </xf>
    <xf numFmtId="176" fontId="14" fillId="0" borderId="41" xfId="209" applyNumberFormat="1" applyFont="1" applyBorder="1" applyAlignment="1">
      <alignment horizontal="right" vertical="center" shrinkToFit="1"/>
    </xf>
    <xf numFmtId="176" fontId="14" fillId="0" borderId="41" xfId="1" applyFont="1" applyBorder="1" applyAlignment="1">
      <alignment horizontal="right" vertical="center" shrinkToFit="1"/>
    </xf>
    <xf numFmtId="0" fontId="36" fillId="5" borderId="0" xfId="0" applyFont="1" applyFill="1" applyAlignment="1">
      <alignment vertical="center"/>
    </xf>
    <xf numFmtId="0" fontId="1" fillId="5" borderId="39" xfId="157" applyFont="1" applyFill="1" applyBorder="1" applyProtection="1">
      <alignment vertical="center"/>
      <protection locked="0"/>
    </xf>
    <xf numFmtId="0" fontId="11" fillId="5" borderId="41" xfId="0" applyFont="1" applyFill="1" applyBorder="1" applyAlignment="1">
      <alignment horizontal="left" vertical="center" wrapText="1"/>
    </xf>
    <xf numFmtId="176" fontId="14" fillId="5" borderId="41" xfId="244" applyFont="1" applyFill="1" applyBorder="1" applyAlignment="1">
      <alignment horizontal="right" vertical="center" shrinkToFit="1"/>
    </xf>
    <xf numFmtId="0" fontId="13" fillId="0" borderId="6" xfId="209" applyFont="1" applyBorder="1" applyAlignment="1">
      <alignment horizontal="center" vertical="center"/>
    </xf>
    <xf numFmtId="0" fontId="13" fillId="0" borderId="34" xfId="209" applyFont="1" applyBorder="1" applyAlignment="1">
      <alignment horizontal="center" vertical="center"/>
    </xf>
    <xf numFmtId="0" fontId="13" fillId="0" borderId="7" xfId="209" applyFont="1" applyBorder="1" applyAlignment="1">
      <alignment horizontal="center" vertical="center"/>
    </xf>
    <xf numFmtId="176" fontId="31" fillId="4" borderId="7" xfId="1" applyFont="1" applyFill="1" applyBorder="1" applyAlignment="1">
      <alignment horizontal="right" vertical="center" shrinkToFit="1"/>
    </xf>
    <xf numFmtId="193" fontId="14" fillId="0" borderId="7" xfId="209" applyNumberFormat="1" applyFont="1" applyBorder="1" applyAlignment="1">
      <alignment horizontal="right" vertical="center" shrinkToFit="1"/>
    </xf>
    <xf numFmtId="0" fontId="14" fillId="0" borderId="0" xfId="0" applyFont="1" applyAlignment="1">
      <alignment horizontal="center" vertical="center" wrapText="1"/>
    </xf>
    <xf numFmtId="0" fontId="31" fillId="0" borderId="8" xfId="0" applyFont="1" applyBorder="1" applyAlignment="1">
      <alignment horizontal="left" vertical="center"/>
    </xf>
    <xf numFmtId="0" fontId="14" fillId="0" borderId="9" xfId="0" applyFont="1" applyBorder="1" applyAlignment="1">
      <alignment horizontal="left" vertical="center"/>
    </xf>
    <xf numFmtId="194" fontId="7" fillId="2" borderId="0" xfId="209" applyNumberFormat="1" applyFont="1" applyFill="1" applyAlignment="1">
      <alignment horizontal="right" vertical="center" shrinkToFit="1"/>
    </xf>
    <xf numFmtId="0" fontId="13" fillId="3" borderId="13" xfId="209" applyFont="1" applyFill="1" applyBorder="1" applyAlignment="1">
      <alignment horizontal="center" vertical="center" wrapText="1"/>
    </xf>
    <xf numFmtId="0" fontId="13" fillId="0" borderId="14" xfId="1" applyNumberFormat="1" applyFont="1" applyFill="1" applyBorder="1" applyAlignment="1">
      <alignment horizontal="left" vertical="center" wrapText="1"/>
    </xf>
    <xf numFmtId="0" fontId="14" fillId="0" borderId="0" xfId="209" applyFont="1" applyAlignment="1">
      <alignment horizontal="right"/>
    </xf>
    <xf numFmtId="0" fontId="13" fillId="0" borderId="42" xfId="1" applyNumberFormat="1" applyFont="1" applyFill="1" applyBorder="1" applyAlignment="1">
      <alignment horizontal="left" vertical="center" wrapText="1"/>
    </xf>
    <xf numFmtId="176" fontId="14" fillId="5" borderId="43" xfId="244" applyFont="1" applyFill="1" applyBorder="1" applyAlignment="1">
      <alignment horizontal="right" vertical="center" shrinkToFit="1"/>
    </xf>
    <xf numFmtId="0" fontId="13" fillId="5" borderId="14" xfId="215" applyFont="1" applyFill="1" applyBorder="1" applyAlignment="1">
      <alignment vertical="center"/>
    </xf>
    <xf numFmtId="0" fontId="13" fillId="0" borderId="15" xfId="1" applyNumberFormat="1" applyFont="1" applyFill="1" applyBorder="1" applyAlignment="1">
      <alignment horizontal="left" vertical="center" wrapText="1"/>
    </xf>
    <xf numFmtId="0" fontId="14" fillId="0" borderId="16" xfId="0" applyFont="1" applyBorder="1" applyAlignment="1">
      <alignment horizontal="justify" vertical="center" wrapText="1"/>
    </xf>
    <xf numFmtId="0" fontId="31" fillId="0" borderId="17" xfId="0" applyFont="1" applyBorder="1" applyAlignment="1">
      <alignment vertical="center"/>
    </xf>
    <xf numFmtId="0" fontId="14" fillId="0" borderId="18" xfId="0" applyFont="1" applyBorder="1" applyAlignment="1">
      <alignment vertical="center"/>
    </xf>
    <xf numFmtId="0" fontId="7" fillId="0" borderId="0" xfId="0" applyFont="1" applyAlignment="1">
      <alignment vertical="center"/>
    </xf>
    <xf numFmtId="0" fontId="13" fillId="0" borderId="0" xfId="0" applyFont="1" applyAlignment="1">
      <alignment vertical="center"/>
    </xf>
    <xf numFmtId="0" fontId="13" fillId="3" borderId="19" xfId="209" applyFont="1" applyFill="1" applyBorder="1" applyAlignment="1">
      <alignment horizontal="center" vertical="center"/>
    </xf>
    <xf numFmtId="0" fontId="13" fillId="3" borderId="3" xfId="0" applyFont="1" applyFill="1" applyBorder="1" applyAlignment="1">
      <alignment horizontal="center" vertical="center"/>
    </xf>
    <xf numFmtId="0" fontId="13" fillId="3" borderId="13" xfId="0" applyFont="1" applyFill="1" applyBorder="1" applyAlignment="1">
      <alignment horizontal="center" vertical="center"/>
    </xf>
    <xf numFmtId="0" fontId="13" fillId="6" borderId="4" xfId="209" applyFont="1" applyFill="1" applyBorder="1" applyAlignment="1">
      <alignment horizontal="left" vertical="center"/>
    </xf>
    <xf numFmtId="176" fontId="14" fillId="7" borderId="14" xfId="209" applyNumberFormat="1" applyFont="1" applyFill="1" applyBorder="1" applyAlignment="1">
      <alignment vertical="center"/>
    </xf>
    <xf numFmtId="176" fontId="14" fillId="0" borderId="41" xfId="1" applyFont="1" applyFill="1" applyBorder="1" applyAlignment="1">
      <alignment horizontal="right" vertical="center" shrinkToFit="1"/>
    </xf>
    <xf numFmtId="0" fontId="14" fillId="5" borderId="39" xfId="0" applyFont="1" applyFill="1" applyBorder="1" applyAlignment="1">
      <alignment horizontal="center" vertical="center" shrinkToFit="1"/>
    </xf>
    <xf numFmtId="176" fontId="14" fillId="5" borderId="41" xfId="0" applyNumberFormat="1" applyFont="1" applyFill="1" applyBorder="1" applyAlignment="1">
      <alignment horizontal="right" vertical="center" shrinkToFit="1"/>
    </xf>
    <xf numFmtId="176" fontId="14" fillId="5" borderId="42" xfId="244" applyFont="1" applyFill="1" applyBorder="1" applyAlignment="1">
      <alignment horizontal="right" vertical="center" shrinkToFit="1"/>
    </xf>
    <xf numFmtId="176" fontId="14" fillId="5" borderId="0" xfId="0" applyNumberFormat="1" applyFont="1" applyFill="1" applyAlignment="1">
      <alignment horizontal="right" vertical="center" shrinkToFit="1"/>
    </xf>
    <xf numFmtId="176" fontId="14" fillId="7" borderId="7" xfId="209" applyNumberFormat="1" applyFont="1" applyFill="1" applyBorder="1" applyAlignment="1">
      <alignment vertical="center"/>
    </xf>
    <xf numFmtId="176" fontId="14" fillId="7" borderId="15" xfId="209" applyNumberFormat="1" applyFont="1" applyFill="1" applyBorder="1" applyAlignment="1">
      <alignment vertical="center"/>
    </xf>
    <xf numFmtId="0" fontId="4" fillId="0" borderId="0" xfId="0" applyFont="1" applyAlignment="1">
      <alignment horizontal="center" vertical="center"/>
    </xf>
    <xf numFmtId="0" fontId="29" fillId="0" borderId="0" xfId="0" applyFont="1" applyAlignment="1">
      <alignment vertical="center"/>
    </xf>
    <xf numFmtId="0" fontId="4" fillId="0" borderId="0" xfId="0" applyFont="1" applyAlignment="1">
      <alignment vertical="center"/>
    </xf>
    <xf numFmtId="9" fontId="4" fillId="0" borderId="0" xfId="3" applyFont="1" applyAlignment="1">
      <alignment vertical="center"/>
    </xf>
    <xf numFmtId="0" fontId="37" fillId="2" borderId="0" xfId="0" applyFont="1" applyFill="1" applyAlignment="1">
      <alignment vertical="center"/>
    </xf>
    <xf numFmtId="0" fontId="30" fillId="2" borderId="0" xfId="0" applyFont="1" applyFill="1" applyAlignment="1">
      <alignment vertical="center"/>
    </xf>
    <xf numFmtId="0" fontId="30" fillId="2" borderId="0" xfId="211" applyFont="1" applyFill="1" applyAlignment="1">
      <alignment horizontal="center" vertical="center"/>
    </xf>
    <xf numFmtId="0" fontId="30" fillId="2" borderId="0" xfId="211" applyFont="1" applyFill="1" applyAlignment="1">
      <alignment horizontal="left" vertical="center"/>
    </xf>
    <xf numFmtId="0" fontId="14" fillId="3" borderId="19" xfId="106" applyFont="1" applyFill="1" applyBorder="1" applyAlignment="1">
      <alignment horizontal="center" vertical="center" wrapText="1"/>
    </xf>
    <xf numFmtId="0" fontId="13" fillId="3" borderId="32" xfId="106" applyFont="1" applyFill="1" applyBorder="1" applyAlignment="1">
      <alignment horizontal="center" vertical="center" wrapText="1"/>
    </xf>
    <xf numFmtId="0" fontId="14" fillId="3" borderId="3" xfId="106" applyFont="1" applyFill="1" applyBorder="1" applyAlignment="1">
      <alignment horizontal="center" vertical="center" wrapText="1"/>
    </xf>
    <xf numFmtId="0" fontId="13" fillId="3" borderId="3" xfId="106" applyFont="1" applyFill="1" applyBorder="1" applyAlignment="1">
      <alignment horizontal="center" vertical="center" wrapText="1"/>
    </xf>
    <xf numFmtId="0" fontId="7" fillId="0" borderId="4" xfId="106" applyFont="1" applyBorder="1" applyAlignment="1">
      <alignment horizontal="left" vertical="center"/>
    </xf>
    <xf numFmtId="0" fontId="7" fillId="0" borderId="33" xfId="106" applyFont="1" applyBorder="1" applyAlignment="1">
      <alignment horizontal="left" vertical="center"/>
    </xf>
    <xf numFmtId="0" fontId="14" fillId="0" borderId="5" xfId="106" applyFont="1" applyBorder="1" applyAlignment="1">
      <alignment horizontal="left" vertical="center"/>
    </xf>
    <xf numFmtId="0" fontId="14" fillId="0" borderId="5" xfId="106" applyFont="1" applyBorder="1" applyAlignment="1">
      <alignment horizontal="center" vertical="center"/>
    </xf>
    <xf numFmtId="0" fontId="14" fillId="0" borderId="4" xfId="106" applyFont="1" applyBorder="1" applyAlignment="1">
      <alignment horizontal="left" vertical="center"/>
    </xf>
    <xf numFmtId="0" fontId="14" fillId="0" borderId="33" xfId="106" applyFont="1" applyBorder="1" applyAlignment="1">
      <alignment horizontal="left" vertical="center"/>
    </xf>
    <xf numFmtId="0" fontId="14" fillId="4" borderId="5" xfId="106" applyFont="1" applyFill="1" applyBorder="1" applyAlignment="1">
      <alignment horizontal="center" vertical="center"/>
    </xf>
    <xf numFmtId="0" fontId="14" fillId="0" borderId="35" xfId="106" applyFont="1" applyBorder="1" applyAlignment="1">
      <alignment horizontal="center" vertical="center"/>
    </xf>
    <xf numFmtId="0" fontId="14" fillId="0" borderId="36" xfId="106" applyFont="1" applyBorder="1" applyAlignment="1">
      <alignment horizontal="center" vertical="center"/>
    </xf>
    <xf numFmtId="0" fontId="14" fillId="0" borderId="7" xfId="106" applyFont="1" applyBorder="1">
      <alignment vertical="center"/>
    </xf>
    <xf numFmtId="0" fontId="14" fillId="0" borderId="9" xfId="106" applyFont="1" applyBorder="1">
      <alignment vertical="center"/>
    </xf>
    <xf numFmtId="0" fontId="31" fillId="0" borderId="0" xfId="106" applyFont="1">
      <alignment vertical="center"/>
    </xf>
    <xf numFmtId="0" fontId="14" fillId="0" borderId="0" xfId="106" applyFont="1">
      <alignment vertical="center"/>
    </xf>
    <xf numFmtId="0" fontId="1" fillId="0" borderId="8" xfId="106" applyFont="1" applyBorder="1">
      <alignment vertical="center"/>
    </xf>
    <xf numFmtId="0" fontId="1" fillId="0" borderId="9" xfId="106" applyFont="1" applyBorder="1">
      <alignment vertical="center"/>
    </xf>
    <xf numFmtId="0" fontId="14" fillId="0" borderId="10" xfId="106" applyFont="1" applyBorder="1">
      <alignment vertical="center"/>
    </xf>
    <xf numFmtId="0" fontId="1" fillId="0" borderId="10" xfId="106" applyFont="1" applyBorder="1">
      <alignment vertical="center"/>
    </xf>
    <xf numFmtId="0" fontId="1" fillId="0" borderId="0" xfId="106" applyFont="1">
      <alignment vertical="center"/>
    </xf>
    <xf numFmtId="0" fontId="14" fillId="0" borderId="11" xfId="106" applyFont="1" applyBorder="1">
      <alignment vertical="center"/>
    </xf>
    <xf numFmtId="0" fontId="14" fillId="0" borderId="12" xfId="106" applyFont="1" applyBorder="1">
      <alignment vertical="center"/>
    </xf>
    <xf numFmtId="9" fontId="7" fillId="2" borderId="0" xfId="3" applyFont="1" applyFill="1" applyBorder="1" applyAlignment="1">
      <alignment horizontal="right" vertical="center" shrinkToFit="1"/>
    </xf>
    <xf numFmtId="195" fontId="30" fillId="2" borderId="0" xfId="211" applyNumberFormat="1" applyFont="1" applyFill="1" applyAlignment="1">
      <alignment horizontal="left" vertical="center"/>
    </xf>
    <xf numFmtId="9" fontId="7" fillId="2" borderId="0" xfId="3" applyFont="1" applyFill="1" applyAlignment="1">
      <alignment horizontal="right" vertical="center" shrinkToFit="1"/>
    </xf>
    <xf numFmtId="0" fontId="14" fillId="3" borderId="3" xfId="62" applyNumberFormat="1" applyFont="1" applyFill="1" applyBorder="1" applyAlignment="1">
      <alignment horizontal="center" vertical="center" shrinkToFit="1"/>
    </xf>
    <xf numFmtId="189" fontId="14" fillId="0" borderId="5" xfId="106" applyNumberFormat="1" applyFont="1" applyBorder="1" applyAlignment="1">
      <alignment horizontal="right" vertical="center" shrinkToFit="1"/>
    </xf>
    <xf numFmtId="9" fontId="14" fillId="0" borderId="5" xfId="62" applyFont="1" applyBorder="1" applyAlignment="1">
      <alignment horizontal="right" vertical="center" shrinkToFit="1"/>
    </xf>
    <xf numFmtId="176" fontId="14" fillId="0" borderId="5" xfId="106" applyNumberFormat="1" applyFont="1" applyBorder="1" applyAlignment="1">
      <alignment horizontal="right" vertical="center" shrinkToFit="1"/>
    </xf>
    <xf numFmtId="176" fontId="14" fillId="8" borderId="5" xfId="106" applyNumberFormat="1" applyFont="1" applyFill="1" applyBorder="1" applyAlignment="1">
      <alignment horizontal="right" vertical="center" shrinkToFit="1"/>
    </xf>
    <xf numFmtId="189" fontId="14" fillId="0" borderId="7" xfId="106" applyNumberFormat="1" applyFont="1" applyBorder="1" applyAlignment="1">
      <alignment horizontal="right" vertical="center" shrinkToFit="1"/>
    </xf>
    <xf numFmtId="9" fontId="14" fillId="0" borderId="7" xfId="62" applyFont="1" applyBorder="1" applyAlignment="1">
      <alignment horizontal="right" vertical="center" shrinkToFit="1"/>
    </xf>
    <xf numFmtId="176" fontId="31" fillId="4" borderId="7" xfId="241" applyFont="1" applyFill="1" applyBorder="1" applyAlignment="1">
      <alignment horizontal="right" vertical="center" shrinkToFit="1"/>
    </xf>
    <xf numFmtId="9" fontId="14" fillId="0" borderId="9" xfId="62" applyFont="1" applyBorder="1" applyAlignment="1">
      <alignment horizontal="right" vertical="center" shrinkToFit="1"/>
    </xf>
    <xf numFmtId="9" fontId="14" fillId="0" borderId="0" xfId="62" applyFont="1" applyBorder="1" applyAlignment="1">
      <alignment horizontal="right" vertical="center" shrinkToFit="1"/>
    </xf>
    <xf numFmtId="9" fontId="14" fillId="0" borderId="12" xfId="62" applyFont="1" applyBorder="1" applyAlignment="1">
      <alignment horizontal="right" vertical="center" shrinkToFit="1"/>
    </xf>
    <xf numFmtId="9" fontId="29" fillId="0" borderId="0" xfId="3" applyFont="1" applyBorder="1" applyAlignment="1">
      <alignment horizontal="right" vertical="center" shrinkToFit="1"/>
    </xf>
    <xf numFmtId="9" fontId="29" fillId="0" borderId="0" xfId="3" applyFont="1" applyAlignment="1">
      <alignment horizontal="right" vertical="center" shrinkToFit="1"/>
    </xf>
    <xf numFmtId="9" fontId="14" fillId="0" borderId="0" xfId="3" applyFont="1" applyAlignment="1">
      <alignment horizontal="right" vertical="center" shrinkToFit="1"/>
    </xf>
    <xf numFmtId="9" fontId="4" fillId="0" borderId="0" xfId="3" applyFont="1" applyAlignment="1">
      <alignment horizontal="right" vertical="center" shrinkToFit="1"/>
    </xf>
    <xf numFmtId="0" fontId="30" fillId="2" borderId="0" xfId="0" applyFont="1" applyFill="1" applyAlignment="1">
      <alignment horizontal="center" vertical="center"/>
    </xf>
    <xf numFmtId="0" fontId="14" fillId="3" borderId="13" xfId="106" applyFont="1" applyFill="1" applyBorder="1" applyAlignment="1">
      <alignment horizontal="center" vertical="center" wrapText="1"/>
    </xf>
    <xf numFmtId="176" fontId="31" fillId="0" borderId="5" xfId="241" applyFont="1" applyFill="1" applyBorder="1" applyAlignment="1">
      <alignment horizontal="right" vertical="center" shrinkToFit="1"/>
    </xf>
    <xf numFmtId="0" fontId="13" fillId="0" borderId="5" xfId="106" applyFont="1" applyBorder="1" applyAlignment="1">
      <alignment horizontal="center" vertical="center"/>
    </xf>
    <xf numFmtId="0" fontId="13" fillId="0" borderId="5" xfId="241" applyNumberFormat="1" applyFont="1" applyBorder="1" applyAlignment="1">
      <alignment horizontal="justify" vertical="center" wrapText="1"/>
    </xf>
    <xf numFmtId="0" fontId="13" fillId="0" borderId="14" xfId="106" applyFont="1" applyBorder="1" applyAlignment="1">
      <alignment horizontal="left" vertical="center" wrapText="1"/>
    </xf>
    <xf numFmtId="176" fontId="14" fillId="4" borderId="5" xfId="241" applyFont="1" applyFill="1" applyBorder="1" applyAlignment="1">
      <alignment horizontal="right" vertical="center" shrinkToFit="1"/>
    </xf>
    <xf numFmtId="0" fontId="13" fillId="4" borderId="5" xfId="106" applyFont="1" applyFill="1" applyBorder="1" applyAlignment="1">
      <alignment horizontal="center" vertical="center"/>
    </xf>
    <xf numFmtId="0" fontId="13" fillId="0" borderId="41" xfId="241" applyNumberFormat="1" applyFont="1" applyBorder="1" applyAlignment="1">
      <alignment horizontal="justify" vertical="center" wrapText="1"/>
    </xf>
    <xf numFmtId="0" fontId="13" fillId="0" borderId="5" xfId="106" applyFont="1" applyBorder="1" applyAlignment="1">
      <alignment horizontal="center" vertical="center" wrapText="1"/>
    </xf>
    <xf numFmtId="0" fontId="13" fillId="0" borderId="7" xfId="106" applyFont="1" applyBorder="1">
      <alignment vertical="center"/>
    </xf>
    <xf numFmtId="0" fontId="13" fillId="0" borderId="7" xfId="241" applyNumberFormat="1" applyFont="1" applyFill="1" applyBorder="1" applyAlignment="1">
      <alignment horizontal="justify" vertical="center" wrapText="1"/>
    </xf>
    <xf numFmtId="0" fontId="13" fillId="0" borderId="15" xfId="106" applyFont="1" applyBorder="1" applyAlignment="1">
      <alignment horizontal="left" vertical="center" wrapText="1"/>
    </xf>
    <xf numFmtId="0" fontId="14" fillId="0" borderId="16" xfId="106" applyFont="1" applyBorder="1">
      <alignment vertical="center"/>
    </xf>
    <xf numFmtId="0" fontId="14" fillId="0" borderId="17" xfId="106" applyFont="1" applyBorder="1">
      <alignment vertical="center"/>
    </xf>
    <xf numFmtId="0" fontId="14" fillId="0" borderId="18" xfId="106" applyFont="1" applyBorder="1">
      <alignment vertical="center"/>
    </xf>
    <xf numFmtId="0" fontId="7" fillId="2" borderId="0" xfId="0" applyFont="1" applyFill="1"/>
    <xf numFmtId="0" fontId="0" fillId="0" borderId="0" xfId="0" applyAlignment="1">
      <alignment wrapText="1"/>
    </xf>
    <xf numFmtId="0" fontId="37" fillId="2" borderId="0" xfId="216" applyFont="1" applyFill="1">
      <alignment vertical="center"/>
    </xf>
    <xf numFmtId="0" fontId="30" fillId="2" borderId="0" xfId="216" applyFont="1" applyFill="1">
      <alignment vertical="center"/>
    </xf>
    <xf numFmtId="0" fontId="7" fillId="2" borderId="0" xfId="0" applyFont="1" applyFill="1" applyAlignment="1">
      <alignment wrapText="1"/>
    </xf>
    <xf numFmtId="0" fontId="13" fillId="3" borderId="1" xfId="108" applyFont="1" applyFill="1" applyBorder="1" applyAlignment="1">
      <alignment horizontal="center" vertical="center" wrapText="1"/>
    </xf>
    <xf numFmtId="0" fontId="13" fillId="3" borderId="44" xfId="108" applyFont="1" applyFill="1" applyBorder="1" applyAlignment="1">
      <alignment horizontal="center" vertical="center" wrapText="1"/>
    </xf>
    <xf numFmtId="0" fontId="13" fillId="3" borderId="2" xfId="108" applyFont="1" applyFill="1" applyBorder="1" applyAlignment="1">
      <alignment horizontal="center" vertical="center" wrapText="1"/>
    </xf>
    <xf numFmtId="0" fontId="13" fillId="3" borderId="2" xfId="208" applyFont="1" applyFill="1" applyBorder="1" applyAlignment="1">
      <alignment horizontal="center" vertical="center" wrapText="1"/>
    </xf>
    <xf numFmtId="0" fontId="13" fillId="3" borderId="3" xfId="108" applyFont="1" applyFill="1" applyBorder="1" applyAlignment="1">
      <alignment horizontal="center" vertical="center" wrapText="1"/>
    </xf>
    <xf numFmtId="0" fontId="38" fillId="0" borderId="45" xfId="108" applyFont="1" applyBorder="1" applyAlignment="1">
      <alignment horizontal="left" vertical="center"/>
    </xf>
    <xf numFmtId="0" fontId="38" fillId="0" borderId="46" xfId="108" applyFont="1" applyBorder="1" applyAlignment="1">
      <alignment horizontal="left" vertical="center"/>
    </xf>
    <xf numFmtId="0" fontId="38" fillId="0" borderId="46" xfId="108" applyFont="1" applyBorder="1" applyAlignment="1">
      <alignment vertical="center" wrapText="1"/>
    </xf>
    <xf numFmtId="0" fontId="38" fillId="0" borderId="46" xfId="108" applyFont="1" applyBorder="1">
      <alignment vertical="center"/>
    </xf>
    <xf numFmtId="0" fontId="38" fillId="0" borderId="33" xfId="108" applyFont="1" applyBorder="1" applyAlignment="1">
      <alignment horizontal="center" vertical="center" wrapText="1"/>
    </xf>
    <xf numFmtId="176" fontId="14" fillId="4" borderId="38" xfId="241" applyFont="1" applyFill="1" applyBorder="1" applyAlignment="1">
      <alignment horizontal="right" vertical="center" shrinkToFit="1"/>
    </xf>
    <xf numFmtId="0" fontId="11" fillId="0" borderId="4" xfId="108" applyFont="1" applyBorder="1" applyAlignment="1">
      <alignment horizontal="center" vertical="center"/>
    </xf>
    <xf numFmtId="0" fontId="11" fillId="0" borderId="33" xfId="108" applyFont="1" applyBorder="1" applyAlignment="1">
      <alignment horizontal="center" vertical="center"/>
    </xf>
    <xf numFmtId="0" fontId="14" fillId="0" borderId="5" xfId="108" applyFont="1" applyBorder="1" applyAlignment="1">
      <alignment horizontal="center" vertical="center" shrinkToFit="1"/>
    </xf>
    <xf numFmtId="0" fontId="14" fillId="4" borderId="5" xfId="106" applyFont="1" applyFill="1" applyBorder="1" applyAlignment="1" applyProtection="1">
      <alignment horizontal="center" vertical="center" wrapText="1" shrinkToFit="1"/>
      <protection locked="0"/>
    </xf>
    <xf numFmtId="176" fontId="14" fillId="0" borderId="38" xfId="241" applyFont="1" applyBorder="1" applyAlignment="1">
      <alignment horizontal="right" vertical="center" shrinkToFit="1"/>
    </xf>
    <xf numFmtId="176" fontId="14" fillId="0" borderId="5" xfId="241" applyFont="1" applyBorder="1" applyAlignment="1">
      <alignment horizontal="right" vertical="center" shrinkToFit="1"/>
    </xf>
    <xf numFmtId="0" fontId="38" fillId="0" borderId="46" xfId="108" applyFont="1" applyBorder="1" applyAlignment="1">
      <alignment horizontal="center" vertical="center" wrapText="1"/>
    </xf>
    <xf numFmtId="0" fontId="38" fillId="0" borderId="46" xfId="108" applyFont="1" applyBorder="1" applyAlignment="1">
      <alignment horizontal="center" vertical="center"/>
    </xf>
    <xf numFmtId="176" fontId="14" fillId="0" borderId="38" xfId="241" applyFont="1" applyFill="1" applyBorder="1" applyAlignment="1">
      <alignment horizontal="right" vertical="center" shrinkToFit="1"/>
    </xf>
    <xf numFmtId="0" fontId="11" fillId="0" borderId="6" xfId="108" applyFont="1" applyBorder="1" applyAlignment="1">
      <alignment horizontal="center" vertical="center"/>
    </xf>
    <xf numFmtId="0" fontId="11" fillId="0" borderId="34" xfId="108" applyFont="1" applyBorder="1" applyAlignment="1">
      <alignment horizontal="center" vertical="center"/>
    </xf>
    <xf numFmtId="0" fontId="14" fillId="0" borderId="7" xfId="108" applyFont="1" applyBorder="1" applyAlignment="1">
      <alignment horizontal="center" vertical="center" shrinkToFit="1"/>
    </xf>
    <xf numFmtId="0" fontId="14" fillId="4" borderId="7" xfId="106" applyFont="1" applyFill="1" applyBorder="1" applyAlignment="1" applyProtection="1">
      <alignment horizontal="center" vertical="center" wrapText="1" shrinkToFit="1"/>
      <protection locked="0"/>
    </xf>
    <xf numFmtId="176" fontId="14" fillId="0" borderId="47" xfId="241" applyFont="1" applyFill="1" applyBorder="1" applyAlignment="1">
      <alignment horizontal="right" vertical="center" shrinkToFit="1"/>
    </xf>
    <xf numFmtId="176" fontId="14" fillId="0" borderId="7" xfId="241" applyFont="1" applyBorder="1" applyAlignment="1">
      <alignment horizontal="right" vertical="center" shrinkToFit="1"/>
    </xf>
    <xf numFmtId="0" fontId="0" fillId="0" borderId="0" xfId="0" applyAlignment="1">
      <alignment vertical="center" wrapText="1"/>
    </xf>
    <xf numFmtId="0" fontId="0" fillId="0" borderId="8" xfId="0" applyBorder="1"/>
    <xf numFmtId="0" fontId="0" fillId="0" borderId="9" xfId="0" applyBorder="1"/>
    <xf numFmtId="0" fontId="0" fillId="0" borderId="9" xfId="0" applyBorder="1" applyAlignment="1">
      <alignment wrapText="1"/>
    </xf>
    <xf numFmtId="0" fontId="0" fillId="0" borderId="10" xfId="0" applyBorder="1"/>
    <xf numFmtId="0" fontId="0" fillId="0" borderId="11" xfId="0" applyBorder="1"/>
    <xf numFmtId="0" fontId="0" fillId="0" borderId="12" xfId="0" applyBorder="1"/>
    <xf numFmtId="0" fontId="0" fillId="0" borderId="12" xfId="0" applyBorder="1" applyAlignment="1">
      <alignment wrapText="1"/>
    </xf>
    <xf numFmtId="0" fontId="7" fillId="2" borderId="0" xfId="209" applyFont="1" applyFill="1" applyAlignment="1">
      <alignment horizontal="right" vertical="center"/>
    </xf>
    <xf numFmtId="0" fontId="15" fillId="2" borderId="0" xfId="211" applyFont="1" applyFill="1" applyAlignment="1">
      <alignment horizontal="left" vertical="center" wrapText="1"/>
    </xf>
    <xf numFmtId="49" fontId="13" fillId="3" borderId="2" xfId="108" applyNumberFormat="1" applyFont="1" applyFill="1" applyBorder="1" applyAlignment="1">
      <alignment horizontal="center" vertical="center" wrapText="1"/>
    </xf>
    <xf numFmtId="0" fontId="13" fillId="3" borderId="48" xfId="108" applyFont="1" applyFill="1" applyBorder="1" applyAlignment="1">
      <alignment horizontal="center" vertical="center" wrapText="1"/>
    </xf>
    <xf numFmtId="0" fontId="38" fillId="0" borderId="14" xfId="108" applyFont="1" applyBorder="1" applyAlignment="1">
      <alignment vertical="center" wrapText="1"/>
    </xf>
    <xf numFmtId="0" fontId="11" fillId="0" borderId="14" xfId="108" applyFont="1" applyBorder="1" applyAlignment="1">
      <alignment vertical="center" wrapText="1"/>
    </xf>
    <xf numFmtId="176" fontId="14" fillId="4" borderId="7" xfId="241" applyFont="1" applyFill="1" applyBorder="1" applyAlignment="1">
      <alignment horizontal="right" vertical="center" shrinkToFit="1"/>
    </xf>
    <xf numFmtId="0" fontId="11" fillId="0" borderId="15" xfId="108" applyFont="1" applyBorder="1" applyAlignment="1">
      <alignment vertical="center" wrapText="1"/>
    </xf>
    <xf numFmtId="0" fontId="0" fillId="0" borderId="16" xfId="0" applyBorder="1" applyAlignment="1">
      <alignment wrapText="1"/>
    </xf>
    <xf numFmtId="0" fontId="0" fillId="0" borderId="17" xfId="0" applyBorder="1" applyAlignment="1">
      <alignment wrapText="1"/>
    </xf>
    <xf numFmtId="0" fontId="0" fillId="0" borderId="18" xfId="0" applyBorder="1" applyAlignment="1">
      <alignment wrapText="1"/>
    </xf>
    <xf numFmtId="0" fontId="7" fillId="2" borderId="0" xfId="211" applyFont="1" applyFill="1" applyAlignment="1">
      <alignment vertical="center"/>
    </xf>
    <xf numFmtId="0" fontId="7" fillId="2" borderId="0" xfId="204" applyFont="1" applyFill="1">
      <alignment vertical="center"/>
    </xf>
    <xf numFmtId="0" fontId="4" fillId="0" borderId="0" xfId="204" applyFont="1">
      <alignment vertical="center"/>
    </xf>
    <xf numFmtId="0" fontId="0" fillId="0" borderId="0" xfId="204">
      <alignment vertical="center"/>
    </xf>
    <xf numFmtId="176" fontId="0" fillId="0" borderId="0" xfId="1" applyFont="1" applyAlignment="1">
      <alignment vertical="center"/>
    </xf>
    <xf numFmtId="196" fontId="7" fillId="2" borderId="0" xfId="194" applyNumberFormat="1" applyFont="1" applyFill="1" applyAlignment="1">
      <alignment horizontal="left" vertical="center"/>
    </xf>
    <xf numFmtId="14" fontId="7" fillId="2" borderId="0" xfId="211" applyNumberFormat="1" applyFont="1" applyFill="1" applyAlignment="1">
      <alignment horizontal="right" vertical="center" shrinkToFit="1"/>
    </xf>
    <xf numFmtId="176" fontId="7" fillId="2" borderId="0" xfId="1" applyFont="1" applyFill="1" applyAlignment="1">
      <alignment horizontal="right" vertical="center" shrinkToFit="1"/>
    </xf>
    <xf numFmtId="0" fontId="7" fillId="0" borderId="49" xfId="211" applyFont="1" applyBorder="1" applyAlignment="1">
      <alignment horizontal="left" vertical="center"/>
    </xf>
    <xf numFmtId="0" fontId="7" fillId="0" borderId="20" xfId="211" applyFont="1" applyBorder="1" applyAlignment="1">
      <alignment horizontal="left" vertical="center"/>
    </xf>
    <xf numFmtId="0" fontId="13" fillId="0" borderId="20" xfId="211" applyFont="1" applyBorder="1" applyAlignment="1">
      <alignment horizontal="left" vertical="center"/>
    </xf>
    <xf numFmtId="0" fontId="14" fillId="0" borderId="21" xfId="211" applyFont="1" applyBorder="1" applyAlignment="1">
      <alignment horizontal="left" vertical="center"/>
    </xf>
    <xf numFmtId="0" fontId="14" fillId="0" borderId="22" xfId="211" applyFont="1" applyBorder="1" applyAlignment="1">
      <alignment horizontal="left" vertical="center"/>
    </xf>
    <xf numFmtId="0" fontId="31" fillId="0" borderId="20" xfId="211" applyFont="1" applyBorder="1" applyAlignment="1">
      <alignment vertical="center"/>
    </xf>
    <xf numFmtId="0" fontId="31" fillId="0" borderId="21" xfId="211" applyFont="1" applyBorder="1" applyAlignment="1">
      <alignment vertical="center"/>
    </xf>
    <xf numFmtId="0" fontId="14" fillId="0" borderId="21" xfId="211" applyFont="1" applyBorder="1" applyAlignment="1">
      <alignment vertical="center"/>
    </xf>
    <xf numFmtId="0" fontId="13" fillId="0" borderId="20" xfId="211" applyFont="1" applyBorder="1" applyAlignment="1">
      <alignment horizontal="left" vertical="center" wrapText="1"/>
    </xf>
    <xf numFmtId="0" fontId="14" fillId="0" borderId="21" xfId="211" applyFont="1" applyBorder="1" applyAlignment="1">
      <alignment horizontal="left" vertical="center" wrapText="1"/>
    </xf>
    <xf numFmtId="0" fontId="14" fillId="0" borderId="22" xfId="211" applyFont="1" applyBorder="1" applyAlignment="1">
      <alignment horizontal="left" vertical="center" wrapText="1"/>
    </xf>
    <xf numFmtId="0" fontId="31" fillId="0" borderId="10" xfId="211" applyFont="1" applyBorder="1" applyAlignment="1">
      <alignment horizontal="left" vertical="center"/>
    </xf>
    <xf numFmtId="0" fontId="31" fillId="0" borderId="0" xfId="211" applyFont="1" applyAlignment="1">
      <alignment horizontal="left" vertical="center"/>
    </xf>
    <xf numFmtId="0" fontId="14" fillId="0" borderId="0" xfId="211" applyFont="1" applyAlignment="1">
      <alignment horizontal="left" vertical="center"/>
    </xf>
    <xf numFmtId="176" fontId="4" fillId="0" borderId="0" xfId="1" applyFont="1" applyAlignment="1">
      <alignment horizontal="right" vertical="center" shrinkToFit="1"/>
    </xf>
    <xf numFmtId="0" fontId="13" fillId="3" borderId="19" xfId="1" applyNumberFormat="1" applyFont="1" applyFill="1" applyBorder="1" applyAlignment="1">
      <alignment horizontal="center" vertical="center" wrapText="1" shrinkToFit="1"/>
    </xf>
    <xf numFmtId="0" fontId="14" fillId="3" borderId="13" xfId="1" applyNumberFormat="1" applyFont="1" applyFill="1" applyBorder="1" applyAlignment="1">
      <alignment horizontal="center" vertical="center" wrapText="1" shrinkToFit="1"/>
    </xf>
    <xf numFmtId="0" fontId="14" fillId="3" borderId="4" xfId="1" applyNumberFormat="1" applyFont="1" applyFill="1" applyBorder="1" applyAlignment="1">
      <alignment horizontal="center" vertical="center" wrapText="1" shrinkToFit="1"/>
    </xf>
    <xf numFmtId="0" fontId="14" fillId="3" borderId="5" xfId="1" applyNumberFormat="1" applyFont="1" applyFill="1" applyBorder="1" applyAlignment="1">
      <alignment horizontal="center" vertical="center" wrapText="1" shrinkToFit="1"/>
    </xf>
    <xf numFmtId="0" fontId="14" fillId="3" borderId="14" xfId="1" applyNumberFormat="1" applyFont="1" applyFill="1" applyBorder="1" applyAlignment="1">
      <alignment horizontal="center" vertical="center" wrapText="1" shrinkToFit="1"/>
    </xf>
    <xf numFmtId="0" fontId="14" fillId="0" borderId="4" xfId="1" applyNumberFormat="1" applyFont="1" applyBorder="1" applyAlignment="1">
      <alignment horizontal="center" vertical="center" shrinkToFit="1"/>
    </xf>
    <xf numFmtId="14" fontId="14" fillId="0" borderId="5" xfId="1" applyNumberFormat="1" applyFont="1" applyBorder="1" applyAlignment="1">
      <alignment horizontal="right" vertical="center" shrinkToFit="1"/>
    </xf>
    <xf numFmtId="0" fontId="14" fillId="0" borderId="5" xfId="1" applyNumberFormat="1" applyFont="1" applyBorder="1" applyAlignment="1">
      <alignment horizontal="center" vertical="center" wrapText="1"/>
    </xf>
    <xf numFmtId="0" fontId="13" fillId="0" borderId="5" xfId="1" applyNumberFormat="1" applyFont="1" applyBorder="1" applyAlignment="1">
      <alignment horizontal="left" vertical="center" wrapText="1"/>
    </xf>
    <xf numFmtId="0" fontId="1" fillId="4" borderId="14" xfId="211" applyFont="1" applyFill="1" applyBorder="1" applyAlignment="1">
      <alignment horizontal="center" vertical="center"/>
    </xf>
    <xf numFmtId="0" fontId="14" fillId="0" borderId="5" xfId="1" applyNumberFormat="1" applyFont="1" applyBorder="1" applyAlignment="1">
      <alignment horizontal="left" vertical="center" wrapText="1"/>
    </xf>
    <xf numFmtId="0" fontId="14" fillId="0" borderId="4" xfId="1" applyNumberFormat="1" applyFont="1" applyBorder="1" applyAlignment="1">
      <alignment horizontal="right" vertical="center" shrinkToFit="1"/>
    </xf>
    <xf numFmtId="0" fontId="13" fillId="0" borderId="4" xfId="1" applyNumberFormat="1" applyFont="1" applyBorder="1" applyAlignment="1">
      <alignment horizontal="center" vertical="center"/>
    </xf>
    <xf numFmtId="0" fontId="13" fillId="0" borderId="33" xfId="1" applyNumberFormat="1" applyFont="1" applyBorder="1" applyAlignment="1">
      <alignment horizontal="center" vertical="center"/>
    </xf>
    <xf numFmtId="0" fontId="14" fillId="0" borderId="5" xfId="1" applyNumberFormat="1" applyFont="1" applyBorder="1" applyAlignment="1">
      <alignment horizontal="center" vertical="center"/>
    </xf>
    <xf numFmtId="0" fontId="14" fillId="0" borderId="14" xfId="1" applyNumberFormat="1" applyFont="1" applyBorder="1" applyAlignment="1">
      <alignment horizontal="center" vertical="center"/>
    </xf>
    <xf numFmtId="0" fontId="14" fillId="0" borderId="4" xfId="1" applyNumberFormat="1" applyFont="1" applyBorder="1" applyAlignment="1">
      <alignment horizontal="center" vertical="center"/>
    </xf>
    <xf numFmtId="0" fontId="14" fillId="0" borderId="33" xfId="1" applyNumberFormat="1" applyFont="1" applyBorder="1" applyAlignment="1">
      <alignment horizontal="center" vertical="center"/>
    </xf>
    <xf numFmtId="14" fontId="14" fillId="0" borderId="33" xfId="1" applyNumberFormat="1" applyFont="1" applyBorder="1" applyAlignment="1">
      <alignment horizontal="right" vertical="center" shrinkToFit="1"/>
    </xf>
    <xf numFmtId="0" fontId="14" fillId="0" borderId="5" xfId="1" applyNumberFormat="1" applyFont="1" applyBorder="1" applyAlignment="1">
      <alignment horizontal="left" vertical="center"/>
    </xf>
    <xf numFmtId="0" fontId="14" fillId="0" borderId="6" xfId="1" applyNumberFormat="1" applyFont="1" applyBorder="1" applyAlignment="1">
      <alignment horizontal="right" vertical="center" shrinkToFit="1"/>
    </xf>
    <xf numFmtId="14" fontId="14" fillId="0" borderId="34" xfId="1" applyNumberFormat="1" applyFont="1" applyBorder="1" applyAlignment="1">
      <alignment horizontal="right" vertical="center" shrinkToFit="1"/>
    </xf>
    <xf numFmtId="0" fontId="14" fillId="0" borderId="7" xfId="1" applyNumberFormat="1" applyFont="1" applyBorder="1" applyAlignment="1">
      <alignment horizontal="center" vertical="center"/>
    </xf>
    <xf numFmtId="0" fontId="14" fillId="0" borderId="7" xfId="1" applyNumberFormat="1" applyFont="1" applyBorder="1" applyAlignment="1">
      <alignment horizontal="left" vertical="center"/>
    </xf>
    <xf numFmtId="0" fontId="14" fillId="0" borderId="7" xfId="1" applyNumberFormat="1" applyFont="1" applyBorder="1" applyAlignment="1">
      <alignment vertical="center"/>
    </xf>
    <xf numFmtId="176" fontId="14" fillId="0" borderId="7" xfId="1" applyFont="1" applyBorder="1" applyAlignment="1">
      <alignment horizontal="right" vertical="center" shrinkToFit="1"/>
    </xf>
    <xf numFmtId="0" fontId="1" fillId="4" borderId="15" xfId="211" applyFont="1" applyFill="1" applyBorder="1" applyAlignment="1">
      <alignment horizontal="center" vertical="center"/>
    </xf>
    <xf numFmtId="0" fontId="39" fillId="0" borderId="0" xfId="204" applyFont="1">
      <alignment vertical="center"/>
    </xf>
    <xf numFmtId="0" fontId="0" fillId="0" borderId="0" xfId="0" applyAlignment="1">
      <alignment vertical="center"/>
    </xf>
    <xf numFmtId="14" fontId="13" fillId="0" borderId="0" xfId="0" applyNumberFormat="1" applyFont="1" applyAlignment="1">
      <alignment vertical="center"/>
    </xf>
    <xf numFmtId="49" fontId="37" fillId="2" borderId="0" xfId="194" applyNumberFormat="1" applyFont="1" applyFill="1" applyAlignment="1">
      <alignment vertical="center"/>
    </xf>
    <xf numFmtId="49" fontId="30" fillId="2" borderId="0" xfId="194" applyNumberFormat="1" applyFont="1" applyFill="1" applyAlignment="1">
      <alignment vertical="center"/>
    </xf>
    <xf numFmtId="49" fontId="40" fillId="2" borderId="0" xfId="194" applyNumberFormat="1" applyFont="1" applyFill="1" applyAlignment="1">
      <alignment vertical="center"/>
    </xf>
    <xf numFmtId="49" fontId="40" fillId="2" borderId="0" xfId="194" applyNumberFormat="1" applyFont="1" applyFill="1" applyAlignment="1">
      <alignment vertical="center" wrapText="1"/>
    </xf>
    <xf numFmtId="193" fontId="7" fillId="2" borderId="0" xfId="211" applyNumberFormat="1" applyFont="1" applyFill="1" applyAlignment="1">
      <alignment horizontal="right" vertical="center" shrinkToFit="1"/>
    </xf>
    <xf numFmtId="0" fontId="7" fillId="2" borderId="0" xfId="194" applyFont="1" applyFill="1" applyAlignment="1">
      <alignment horizontal="right" vertical="center"/>
    </xf>
    <xf numFmtId="14" fontId="7" fillId="2" borderId="0" xfId="194" applyNumberFormat="1" applyFont="1" applyFill="1" applyAlignment="1">
      <alignment horizontal="right" vertical="center" shrinkToFit="1"/>
    </xf>
    <xf numFmtId="0" fontId="7" fillId="2" borderId="0" xfId="194" applyFont="1" applyFill="1" applyAlignment="1">
      <alignment horizontal="left" vertical="center"/>
    </xf>
    <xf numFmtId="0" fontId="13" fillId="3" borderId="19" xfId="207" applyFont="1" applyFill="1" applyBorder="1" applyAlignment="1">
      <alignment horizontal="center" vertical="center"/>
    </xf>
    <xf numFmtId="0" fontId="13" fillId="3" borderId="32" xfId="207" applyFont="1" applyFill="1" applyBorder="1" applyAlignment="1">
      <alignment horizontal="center" vertical="center"/>
    </xf>
    <xf numFmtId="0" fontId="13" fillId="3" borderId="3" xfId="207" applyFont="1" applyFill="1" applyBorder="1" applyAlignment="1">
      <alignment horizontal="center" vertical="center"/>
    </xf>
    <xf numFmtId="0" fontId="13" fillId="3" borderId="3" xfId="114" applyFont="1" applyFill="1" applyBorder="1" applyAlignment="1">
      <alignment horizontal="center" vertical="center" wrapText="1"/>
    </xf>
    <xf numFmtId="0" fontId="13" fillId="0" borderId="4" xfId="114" applyFont="1" applyBorder="1" applyAlignment="1">
      <alignment horizontal="center" vertical="center"/>
    </xf>
    <xf numFmtId="0" fontId="13" fillId="0" borderId="33" xfId="114" applyFont="1" applyBorder="1" applyAlignment="1">
      <alignment horizontal="center" vertical="center"/>
    </xf>
    <xf numFmtId="0" fontId="13" fillId="0" borderId="33" xfId="114" applyFont="1" applyBorder="1" applyAlignment="1">
      <alignment vertical="center"/>
    </xf>
    <xf numFmtId="0" fontId="13" fillId="0" borderId="5" xfId="114" applyFont="1" applyBorder="1" applyAlignment="1">
      <alignment horizontal="left" vertical="center"/>
    </xf>
    <xf numFmtId="0" fontId="13" fillId="0" borderId="5" xfId="114" applyFont="1" applyBorder="1" applyAlignment="1">
      <alignment horizontal="center" vertical="center"/>
    </xf>
    <xf numFmtId="176" fontId="14" fillId="0" borderId="5" xfId="114" applyNumberFormat="1" applyFont="1" applyBorder="1" applyAlignment="1">
      <alignment horizontal="right" vertical="center" shrinkToFit="1"/>
    </xf>
    <xf numFmtId="0" fontId="13" fillId="0" borderId="6" xfId="114" applyFont="1" applyBorder="1" applyAlignment="1">
      <alignment horizontal="center" vertical="center"/>
    </xf>
    <xf numFmtId="0" fontId="13" fillId="0" borderId="34" xfId="114" applyFont="1" applyBorder="1" applyAlignment="1">
      <alignment horizontal="center" vertical="center"/>
    </xf>
    <xf numFmtId="0" fontId="13" fillId="0" borderId="34" xfId="114" applyFont="1" applyBorder="1" applyAlignment="1">
      <alignment vertical="center"/>
    </xf>
    <xf numFmtId="0" fontId="13" fillId="0" borderId="7" xfId="114" applyFont="1" applyBorder="1" applyAlignment="1">
      <alignment horizontal="left" vertical="center"/>
    </xf>
    <xf numFmtId="0" fontId="13" fillId="0" borderId="7" xfId="114" applyFont="1" applyBorder="1" applyAlignment="1">
      <alignment horizontal="center" vertical="center"/>
    </xf>
    <xf numFmtId="176" fontId="14" fillId="0" borderId="7" xfId="114" applyNumberFormat="1" applyFont="1" applyBorder="1" applyAlignment="1">
      <alignment horizontal="right" vertical="center" shrinkToFit="1"/>
    </xf>
    <xf numFmtId="14" fontId="14" fillId="0" borderId="0" xfId="0" applyNumberFormat="1" applyFont="1" applyAlignment="1">
      <alignment horizontal="right" vertical="center" shrinkToFit="1"/>
    </xf>
    <xf numFmtId="0" fontId="41" fillId="0" borderId="0" xfId="0" applyFont="1" applyAlignment="1">
      <alignment vertical="center"/>
    </xf>
    <xf numFmtId="0" fontId="13" fillId="0" borderId="8" xfId="0" applyFont="1" applyBorder="1" applyAlignment="1">
      <alignment vertical="center"/>
    </xf>
    <xf numFmtId="0" fontId="13" fillId="0" borderId="9" xfId="0" applyFont="1" applyBorder="1" applyAlignment="1">
      <alignment vertical="center"/>
    </xf>
    <xf numFmtId="0" fontId="13" fillId="0" borderId="10" xfId="0" applyFont="1" applyBorder="1" applyAlignment="1">
      <alignment vertical="center"/>
    </xf>
    <xf numFmtId="0" fontId="13" fillId="0" borderId="11" xfId="0" applyFont="1" applyBorder="1" applyAlignment="1">
      <alignment vertical="center"/>
    </xf>
    <xf numFmtId="0" fontId="13" fillId="0" borderId="12" xfId="0" applyFont="1" applyBorder="1" applyAlignment="1">
      <alignment vertical="center"/>
    </xf>
    <xf numFmtId="0" fontId="42" fillId="0" borderId="0" xfId="209" applyFont="1" applyAlignment="1">
      <alignment vertical="center"/>
    </xf>
    <xf numFmtId="0" fontId="42" fillId="0" borderId="0" xfId="209" applyFont="1" applyAlignment="1">
      <alignment horizontal="left" vertical="center" wrapText="1"/>
    </xf>
    <xf numFmtId="49" fontId="7" fillId="2" borderId="0" xfId="194" applyNumberFormat="1" applyFont="1" applyFill="1" applyAlignment="1">
      <alignment horizontal="right" vertical="center"/>
    </xf>
    <xf numFmtId="0" fontId="13" fillId="3" borderId="3" xfId="114" applyFont="1" applyFill="1" applyBorder="1" applyAlignment="1">
      <alignment horizontal="center" vertical="center"/>
    </xf>
    <xf numFmtId="0" fontId="13" fillId="3" borderId="13" xfId="114" applyFont="1" applyFill="1" applyBorder="1" applyAlignment="1">
      <alignment horizontal="center" vertical="center" wrapText="1"/>
    </xf>
    <xf numFmtId="176" fontId="14" fillId="8" borderId="5" xfId="114" applyNumberFormat="1" applyFont="1" applyFill="1" applyBorder="1" applyAlignment="1">
      <alignment horizontal="right" vertical="center" shrinkToFit="1"/>
    </xf>
    <xf numFmtId="0" fontId="43" fillId="4" borderId="5" xfId="194" applyFont="1" applyFill="1" applyBorder="1" applyAlignment="1">
      <alignment horizontal="center" vertical="center" shrinkToFit="1"/>
    </xf>
    <xf numFmtId="0" fontId="3" fillId="0" borderId="5" xfId="114" applyFont="1" applyBorder="1" applyAlignment="1">
      <alignment vertical="center" wrapText="1"/>
    </xf>
    <xf numFmtId="0" fontId="3" fillId="0" borderId="14" xfId="114" applyFont="1" applyBorder="1" applyAlignment="1">
      <alignment vertical="center"/>
    </xf>
    <xf numFmtId="176" fontId="14" fillId="8" borderId="7" xfId="114" applyNumberFormat="1" applyFont="1" applyFill="1" applyBorder="1" applyAlignment="1">
      <alignment horizontal="right" vertical="center" shrinkToFit="1"/>
    </xf>
    <xf numFmtId="0" fontId="43" fillId="4" borderId="7" xfId="194" applyFont="1" applyFill="1" applyBorder="1" applyAlignment="1">
      <alignment horizontal="center" vertical="center" shrinkToFit="1"/>
    </xf>
    <xf numFmtId="0" fontId="3" fillId="0" borderId="7" xfId="114" applyFont="1" applyBorder="1" applyAlignment="1">
      <alignment vertical="center" wrapText="1"/>
    </xf>
    <xf numFmtId="0" fontId="3" fillId="0" borderId="15" xfId="114" applyFont="1" applyBorder="1" applyAlignment="1">
      <alignment vertical="center"/>
    </xf>
    <xf numFmtId="0" fontId="13" fillId="0" borderId="16" xfId="0" applyFont="1" applyBorder="1" applyAlignment="1">
      <alignment vertical="center"/>
    </xf>
    <xf numFmtId="0" fontId="13" fillId="0" borderId="17" xfId="0" applyFont="1" applyBorder="1" applyAlignment="1">
      <alignment vertical="center"/>
    </xf>
    <xf numFmtId="0" fontId="13" fillId="0" borderId="18" xfId="0" applyFont="1" applyBorder="1" applyAlignment="1">
      <alignment vertical="center"/>
    </xf>
    <xf numFmtId="14" fontId="0" fillId="0" borderId="0" xfId="0" applyNumberFormat="1"/>
    <xf numFmtId="0" fontId="44" fillId="9" borderId="19" xfId="194" applyFont="1" applyFill="1" applyBorder="1" applyAlignment="1">
      <alignment horizontal="center" vertical="center" wrapText="1"/>
    </xf>
    <xf numFmtId="0" fontId="44" fillId="9" borderId="2" xfId="194" applyFont="1" applyFill="1" applyBorder="1" applyAlignment="1">
      <alignment horizontal="center" vertical="center" wrapText="1"/>
    </xf>
    <xf numFmtId="0" fontId="44" fillId="9" borderId="37" xfId="194" applyFont="1" applyFill="1" applyBorder="1" applyAlignment="1">
      <alignment horizontal="center" vertical="center" wrapText="1"/>
    </xf>
    <xf numFmtId="0" fontId="44" fillId="9" borderId="50" xfId="194" applyFont="1" applyFill="1" applyBorder="1" applyAlignment="1">
      <alignment horizontal="center" vertical="center" wrapText="1"/>
    </xf>
    <xf numFmtId="0" fontId="43" fillId="9" borderId="4" xfId="194" applyFont="1" applyFill="1" applyBorder="1" applyAlignment="1">
      <alignment horizontal="center" vertical="center" wrapText="1"/>
    </xf>
    <xf numFmtId="0" fontId="44" fillId="9" borderId="51" xfId="194" applyFont="1" applyFill="1" applyBorder="1" applyAlignment="1">
      <alignment horizontal="center" vertical="center" wrapText="1"/>
    </xf>
    <xf numFmtId="0" fontId="44" fillId="9" borderId="52" xfId="194" applyFont="1" applyFill="1" applyBorder="1" applyAlignment="1">
      <alignment horizontal="center" vertical="center" wrapText="1"/>
    </xf>
    <xf numFmtId="0" fontId="43" fillId="9" borderId="51" xfId="194" applyFont="1" applyFill="1" applyBorder="1" applyAlignment="1">
      <alignment horizontal="center" vertical="center" wrapText="1"/>
    </xf>
    <xf numFmtId="0" fontId="45" fillId="9" borderId="51" xfId="194" applyFont="1" applyFill="1" applyBorder="1" applyAlignment="1">
      <alignment horizontal="center" vertical="center" wrapText="1"/>
    </xf>
    <xf numFmtId="0" fontId="46" fillId="9" borderId="51" xfId="194" applyFont="1" applyFill="1" applyBorder="1" applyAlignment="1">
      <alignment horizontal="center" vertical="center" wrapText="1" shrinkToFit="1"/>
    </xf>
    <xf numFmtId="0" fontId="43" fillId="10" borderId="4" xfId="194" applyFont="1" applyFill="1" applyBorder="1" applyAlignment="1">
      <alignment horizontal="center" vertical="center"/>
    </xf>
    <xf numFmtId="0" fontId="43" fillId="10" borderId="46" xfId="194" applyFont="1" applyFill="1" applyBorder="1" applyAlignment="1">
      <alignment horizontal="center" vertical="center"/>
    </xf>
    <xf numFmtId="0" fontId="44" fillId="10" borderId="38" xfId="194" applyFont="1" applyFill="1" applyBorder="1" applyAlignment="1">
      <alignment horizontal="left" vertical="center" wrapText="1"/>
    </xf>
    <xf numFmtId="0" fontId="44" fillId="10" borderId="5" xfId="194" applyFont="1" applyFill="1" applyBorder="1" applyAlignment="1">
      <alignment horizontal="left" vertical="center" wrapText="1"/>
    </xf>
    <xf numFmtId="0" fontId="44" fillId="10" borderId="5" xfId="194" applyFont="1" applyFill="1" applyBorder="1" applyAlignment="1">
      <alignment horizontal="center" vertical="center"/>
    </xf>
    <xf numFmtId="189" fontId="46" fillId="10" borderId="5" xfId="194" applyNumberFormat="1" applyFont="1" applyFill="1" applyBorder="1" applyAlignment="1">
      <alignment horizontal="right" vertical="center" shrinkToFit="1"/>
    </xf>
    <xf numFmtId="0" fontId="43" fillId="10" borderId="6" xfId="194" applyFont="1" applyFill="1" applyBorder="1" applyAlignment="1">
      <alignment horizontal="center" vertical="center"/>
    </xf>
    <xf numFmtId="0" fontId="43" fillId="10" borderId="36" xfId="194" applyFont="1" applyFill="1" applyBorder="1" applyAlignment="1">
      <alignment horizontal="center" vertical="center"/>
    </xf>
    <xf numFmtId="0" fontId="44" fillId="10" borderId="47" xfId="194" applyFont="1" applyFill="1" applyBorder="1" applyAlignment="1">
      <alignment horizontal="left" vertical="center" wrapText="1"/>
    </xf>
    <xf numFmtId="0" fontId="44" fillId="10" borderId="7" xfId="194" applyFont="1" applyFill="1" applyBorder="1" applyAlignment="1">
      <alignment horizontal="left" vertical="center" wrapText="1"/>
    </xf>
    <xf numFmtId="0" fontId="44" fillId="10" borderId="7" xfId="194" applyFont="1" applyFill="1" applyBorder="1" applyAlignment="1">
      <alignment horizontal="center" vertical="center"/>
    </xf>
    <xf numFmtId="189" fontId="46" fillId="10" borderId="7" xfId="194" applyNumberFormat="1" applyFont="1" applyFill="1" applyBorder="1" applyAlignment="1">
      <alignment horizontal="right" vertical="center" shrinkToFit="1"/>
    </xf>
    <xf numFmtId="0" fontId="13" fillId="0" borderId="0" xfId="194" applyAlignment="1">
      <alignment vertical="center"/>
    </xf>
    <xf numFmtId="0" fontId="7" fillId="0" borderId="0" xfId="194" applyFont="1" applyAlignment="1">
      <alignment vertical="center"/>
    </xf>
    <xf numFmtId="0" fontId="47" fillId="0" borderId="0" xfId="194" applyFont="1" applyAlignment="1">
      <alignment vertical="center"/>
    </xf>
    <xf numFmtId="14" fontId="48" fillId="0" borderId="0" xfId="194" applyNumberFormat="1" applyFont="1" applyAlignment="1">
      <alignment horizontal="right" vertical="center" shrinkToFit="1"/>
    </xf>
    <xf numFmtId="0" fontId="34" fillId="10" borderId="8" xfId="194" applyFont="1" applyFill="1" applyBorder="1" applyAlignment="1">
      <alignment horizontal="left" vertical="center" wrapText="1"/>
    </xf>
    <xf numFmtId="0" fontId="34" fillId="10" borderId="9" xfId="194" applyFont="1" applyFill="1" applyBorder="1" applyAlignment="1">
      <alignment horizontal="left" vertical="center" wrapText="1"/>
    </xf>
    <xf numFmtId="0" fontId="34" fillId="10" borderId="10" xfId="194" applyFont="1" applyFill="1" applyBorder="1" applyAlignment="1">
      <alignment horizontal="left" vertical="center" wrapText="1"/>
    </xf>
    <xf numFmtId="0" fontId="34" fillId="10" borderId="0" xfId="194" applyFont="1" applyFill="1" applyAlignment="1">
      <alignment horizontal="left" vertical="center" wrapText="1"/>
    </xf>
    <xf numFmtId="0" fontId="34" fillId="10" borderId="11" xfId="194" applyFont="1" applyFill="1" applyBorder="1" applyAlignment="1">
      <alignment horizontal="left" vertical="center" wrapText="1"/>
    </xf>
    <xf numFmtId="0" fontId="34" fillId="10" borderId="12" xfId="194" applyFont="1" applyFill="1" applyBorder="1" applyAlignment="1">
      <alignment horizontal="left" vertical="center" wrapText="1"/>
    </xf>
    <xf numFmtId="14" fontId="4" fillId="0" borderId="0" xfId="0" applyNumberFormat="1" applyFont="1" applyAlignment="1">
      <alignment horizontal="right" shrinkToFit="1"/>
    </xf>
    <xf numFmtId="14" fontId="4" fillId="0" borderId="0" xfId="0" applyNumberFormat="1" applyFont="1" applyAlignment="1">
      <alignment horizontal="right" vertical="center" shrinkToFit="1"/>
    </xf>
    <xf numFmtId="0" fontId="44" fillId="9" borderId="32" xfId="194" applyFont="1" applyFill="1" applyBorder="1" applyAlignment="1">
      <alignment horizontal="center" vertical="center" wrapText="1"/>
    </xf>
    <xf numFmtId="0" fontId="44" fillId="9" borderId="13" xfId="194" applyFont="1" applyFill="1" applyBorder="1" applyAlignment="1">
      <alignment horizontal="center" vertical="center" wrapText="1"/>
    </xf>
    <xf numFmtId="0" fontId="44" fillId="9" borderId="5" xfId="194" applyFont="1" applyFill="1" applyBorder="1" applyAlignment="1">
      <alignment horizontal="center" vertical="center" wrapText="1"/>
    </xf>
    <xf numFmtId="0" fontId="43" fillId="9" borderId="14" xfId="194" applyFont="1" applyFill="1" applyBorder="1" applyAlignment="1">
      <alignment horizontal="center" vertical="center" wrapText="1"/>
    </xf>
    <xf numFmtId="0" fontId="43" fillId="10" borderId="5" xfId="194" applyFont="1" applyFill="1" applyBorder="1" applyAlignment="1">
      <alignment horizontal="left" vertical="center" wrapText="1" shrinkToFit="1"/>
    </xf>
    <xf numFmtId="0" fontId="49" fillId="10" borderId="5" xfId="194" applyFont="1" applyFill="1" applyBorder="1" applyAlignment="1">
      <alignment horizontal="center" vertical="center" wrapText="1" shrinkToFit="1"/>
    </xf>
    <xf numFmtId="0" fontId="43" fillId="4" borderId="14" xfId="194" applyFont="1" applyFill="1" applyBorder="1" applyAlignment="1">
      <alignment horizontal="center" vertical="center" shrinkToFit="1"/>
    </xf>
    <xf numFmtId="0" fontId="43" fillId="10" borderId="5" xfId="194" applyFont="1" applyFill="1" applyBorder="1" applyAlignment="1">
      <alignment horizontal="center" vertical="center" wrapText="1" shrinkToFit="1"/>
    </xf>
    <xf numFmtId="0" fontId="49" fillId="10" borderId="5" xfId="194" applyFont="1" applyFill="1" applyBorder="1" applyAlignment="1">
      <alignment horizontal="left" vertical="center" wrapText="1" shrinkToFit="1"/>
    </xf>
    <xf numFmtId="0" fontId="43" fillId="10" borderId="7" xfId="194" applyFont="1" applyFill="1" applyBorder="1" applyAlignment="1">
      <alignment horizontal="left" vertical="center" wrapText="1" shrinkToFit="1"/>
    </xf>
    <xf numFmtId="0" fontId="43" fillId="10" borderId="7" xfId="194" applyFont="1" applyFill="1" applyBorder="1" applyAlignment="1">
      <alignment horizontal="center" vertical="center" wrapText="1" shrinkToFit="1"/>
    </xf>
    <xf numFmtId="0" fontId="43" fillId="4" borderId="15" xfId="194" applyFont="1" applyFill="1" applyBorder="1" applyAlignment="1">
      <alignment horizontal="center" vertical="center" shrinkToFit="1"/>
    </xf>
    <xf numFmtId="0" fontId="34" fillId="10" borderId="16" xfId="194" applyFont="1" applyFill="1" applyBorder="1" applyAlignment="1">
      <alignment horizontal="left" vertical="center" wrapText="1"/>
    </xf>
    <xf numFmtId="0" fontId="34" fillId="10" borderId="17" xfId="194" applyFont="1" applyFill="1" applyBorder="1" applyAlignment="1">
      <alignment horizontal="left" vertical="center" wrapText="1"/>
    </xf>
    <xf numFmtId="0" fontId="34" fillId="10" borderId="18" xfId="194" applyFont="1" applyFill="1" applyBorder="1" applyAlignment="1">
      <alignment horizontal="left" vertical="center" wrapText="1"/>
    </xf>
    <xf numFmtId="0" fontId="11" fillId="0" borderId="0" xfId="0" applyFont="1" applyAlignment="1">
      <alignment vertical="center"/>
    </xf>
    <xf numFmtId="0" fontId="13" fillId="0" borderId="19" xfId="0" applyFont="1" applyBorder="1" applyAlignment="1">
      <alignment horizontal="center" vertical="center"/>
    </xf>
    <xf numFmtId="0" fontId="13" fillId="4" borderId="3" xfId="0" applyFont="1" applyFill="1" applyBorder="1" applyAlignment="1">
      <alignment horizontal="left" vertical="center"/>
    </xf>
    <xf numFmtId="0" fontId="13" fillId="0" borderId="3" xfId="0" applyFont="1" applyBorder="1" applyAlignment="1">
      <alignment horizontal="left" vertical="center"/>
    </xf>
    <xf numFmtId="0" fontId="13" fillId="0" borderId="13" xfId="0" applyFont="1" applyBorder="1" applyAlignment="1">
      <alignment horizontal="left" vertical="center"/>
    </xf>
    <xf numFmtId="0" fontId="13" fillId="0" borderId="32"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vertical="center"/>
    </xf>
    <xf numFmtId="0" fontId="13" fillId="0" borderId="14" xfId="0" applyFont="1" applyBorder="1" applyAlignment="1">
      <alignment vertical="center"/>
    </xf>
    <xf numFmtId="0" fontId="13" fillId="0" borderId="39" xfId="0" applyFont="1" applyBorder="1" applyAlignment="1">
      <alignment horizontal="center" vertical="center"/>
    </xf>
    <xf numFmtId="0" fontId="13" fillId="0" borderId="41" xfId="0" applyFont="1" applyBorder="1" applyAlignment="1">
      <alignment vertical="center"/>
    </xf>
    <xf numFmtId="0" fontId="13" fillId="0" borderId="42" xfId="0" applyFont="1" applyBorder="1" applyAlignment="1">
      <alignment vertical="center"/>
    </xf>
    <xf numFmtId="0" fontId="13" fillId="0" borderId="40" xfId="0" applyFont="1" applyBorder="1" applyAlignment="1">
      <alignment horizontal="center" vertical="center"/>
    </xf>
    <xf numFmtId="0" fontId="13" fillId="11" borderId="19" xfId="0" applyFont="1" applyFill="1" applyBorder="1" applyAlignment="1">
      <alignment horizontal="left" vertical="center" wrapText="1"/>
    </xf>
    <xf numFmtId="0" fontId="13" fillId="11" borderId="3" xfId="0" applyFont="1" applyFill="1" applyBorder="1" applyAlignment="1">
      <alignment horizontal="left" vertical="center" wrapText="1"/>
    </xf>
    <xf numFmtId="0" fontId="13" fillId="11" borderId="37" xfId="0" applyFont="1" applyFill="1" applyBorder="1" applyAlignment="1">
      <alignment horizontal="left" vertical="center" wrapText="1"/>
    </xf>
    <xf numFmtId="0" fontId="13" fillId="11" borderId="4" xfId="0" applyFont="1" applyFill="1" applyBorder="1" applyAlignment="1">
      <alignment horizontal="center" vertical="center" wrapText="1"/>
    </xf>
    <xf numFmtId="0" fontId="13" fillId="11" borderId="5" xfId="0" applyFont="1" applyFill="1" applyBorder="1" applyAlignment="1">
      <alignment horizontal="center" vertical="center" wrapText="1"/>
    </xf>
    <xf numFmtId="0" fontId="13" fillId="11" borderId="38" xfId="0" applyFont="1" applyFill="1" applyBorder="1" applyAlignment="1">
      <alignment horizontal="center" vertical="center" wrapText="1"/>
    </xf>
    <xf numFmtId="0" fontId="13" fillId="0" borderId="4" xfId="0" applyFont="1" applyBorder="1" applyAlignment="1">
      <alignment horizontal="left" vertical="center" wrapText="1"/>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176" fontId="14" fillId="0" borderId="5" xfId="0" applyNumberFormat="1" applyFont="1" applyBorder="1" applyAlignment="1">
      <alignment horizontal="right" vertical="center" shrinkToFit="1"/>
    </xf>
    <xf numFmtId="176" fontId="14" fillId="0" borderId="38" xfId="0" applyNumberFormat="1" applyFont="1" applyBorder="1" applyAlignment="1">
      <alignment horizontal="right" vertical="center" shrinkToFit="1"/>
    </xf>
    <xf numFmtId="0" fontId="11" fillId="0" borderId="4" xfId="0" applyFont="1" applyBorder="1" applyAlignment="1">
      <alignment horizontal="left" vertical="center" wrapText="1"/>
    </xf>
    <xf numFmtId="176" fontId="14" fillId="12" borderId="5" xfId="0" applyNumberFormat="1" applyFont="1" applyFill="1" applyBorder="1" applyAlignment="1">
      <alignment horizontal="right" vertical="center" shrinkToFit="1"/>
    </xf>
    <xf numFmtId="176" fontId="14" fillId="12" borderId="38" xfId="0" applyNumberFormat="1" applyFont="1" applyFill="1" applyBorder="1" applyAlignment="1">
      <alignment horizontal="right" vertical="center" shrinkToFit="1"/>
    </xf>
    <xf numFmtId="0" fontId="13" fillId="0" borderId="4" xfId="0" applyFont="1" applyBorder="1" applyAlignment="1">
      <alignment horizontal="center" vertical="center" wrapText="1"/>
    </xf>
    <xf numFmtId="0" fontId="13" fillId="0" borderId="38" xfId="0" applyFont="1" applyBorder="1" applyAlignment="1">
      <alignment horizontal="left" vertical="center" wrapText="1"/>
    </xf>
    <xf numFmtId="0" fontId="13" fillId="0" borderId="46" xfId="0" applyFont="1" applyBorder="1" applyAlignment="1">
      <alignment horizontal="left" vertical="center" wrapText="1"/>
    </xf>
    <xf numFmtId="0" fontId="38" fillId="0" borderId="4" xfId="0" applyFont="1" applyBorder="1" applyAlignment="1">
      <alignment horizontal="center" vertical="center" wrapText="1"/>
    </xf>
    <xf numFmtId="176" fontId="14" fillId="4" borderId="5" xfId="0" applyNumberFormat="1" applyFont="1" applyFill="1" applyBorder="1" applyAlignment="1">
      <alignment horizontal="right" vertical="center" shrinkToFit="1"/>
    </xf>
    <xf numFmtId="176" fontId="31" fillId="4" borderId="38" xfId="0" applyNumberFormat="1" applyFont="1" applyFill="1" applyBorder="1" applyAlignment="1">
      <alignment horizontal="right" vertical="center" shrinkToFit="1"/>
    </xf>
    <xf numFmtId="0" fontId="13" fillId="0" borderId="6" xfId="0" applyFont="1" applyBorder="1" applyAlignment="1">
      <alignment horizontal="left" vertical="center" wrapText="1"/>
    </xf>
    <xf numFmtId="0" fontId="13" fillId="0" borderId="7" xfId="0" applyFont="1" applyBorder="1" applyAlignment="1">
      <alignment horizontal="left" vertical="center" wrapText="1"/>
    </xf>
    <xf numFmtId="176" fontId="31" fillId="12" borderId="47" xfId="0" applyNumberFormat="1" applyFont="1" applyFill="1" applyBorder="1" applyAlignment="1">
      <alignment horizontal="right" vertical="center" shrinkToFit="1"/>
    </xf>
    <xf numFmtId="176" fontId="31" fillId="13" borderId="36" xfId="0" applyNumberFormat="1" applyFont="1" applyFill="1" applyBorder="1" applyAlignment="1">
      <alignment horizontal="right" vertical="center" shrinkToFit="1"/>
    </xf>
    <xf numFmtId="176" fontId="31" fillId="13" borderId="53" xfId="0" applyNumberFormat="1" applyFont="1" applyFill="1" applyBorder="1" applyAlignment="1">
      <alignment horizontal="right" vertical="center" shrinkToFit="1"/>
    </xf>
    <xf numFmtId="0" fontId="14" fillId="0" borderId="6" xfId="0" applyFont="1" applyBorder="1" applyAlignment="1">
      <alignment horizontal="center" vertical="center" shrinkToFit="1"/>
    </xf>
    <xf numFmtId="0" fontId="7" fillId="0" borderId="8" xfId="0" applyFont="1" applyBorder="1" applyAlignment="1">
      <alignment horizontal="right" vertical="center"/>
    </xf>
    <xf numFmtId="0" fontId="31" fillId="0" borderId="11" xfId="0" applyFont="1" applyBorder="1" applyAlignment="1">
      <alignment horizontal="right" vertical="center"/>
    </xf>
    <xf numFmtId="0" fontId="14" fillId="0" borderId="12" xfId="0" applyFont="1" applyBorder="1" applyAlignment="1">
      <alignment horizontal="center" vertical="center" wrapText="1"/>
    </xf>
    <xf numFmtId="0" fontId="14" fillId="0" borderId="12" xfId="0" applyFont="1" applyBorder="1" applyAlignment="1">
      <alignment horizontal="justify" vertical="center" wrapText="1"/>
    </xf>
    <xf numFmtId="0" fontId="29" fillId="0" borderId="0" xfId="0" applyFont="1" applyAlignment="1">
      <alignment horizontal="left" vertical="center"/>
    </xf>
    <xf numFmtId="0" fontId="14" fillId="0" borderId="0" xfId="0" applyFont="1" applyAlignment="1">
      <alignment horizontal="left" vertical="center"/>
    </xf>
    <xf numFmtId="0" fontId="7" fillId="2" borderId="0" xfId="211" applyFont="1" applyFill="1" applyAlignment="1">
      <alignment horizontal="center" vertical="center"/>
    </xf>
    <xf numFmtId="192" fontId="7" fillId="2" borderId="0" xfId="209" applyNumberFormat="1" applyFont="1" applyFill="1" applyAlignment="1">
      <alignment horizontal="left" vertical="center"/>
    </xf>
    <xf numFmtId="197" fontId="14" fillId="4" borderId="37" xfId="0" applyNumberFormat="1" applyFont="1" applyFill="1" applyBorder="1" applyAlignment="1">
      <alignment horizontal="right" vertical="center" shrinkToFit="1"/>
    </xf>
    <xf numFmtId="197" fontId="14" fillId="0" borderId="50" xfId="0" applyNumberFormat="1" applyFont="1" applyBorder="1" applyAlignment="1">
      <alignment horizontal="right" vertical="center" shrinkToFit="1"/>
    </xf>
    <xf numFmtId="197" fontId="14" fillId="0" borderId="54" xfId="0" applyNumberFormat="1" applyFont="1" applyBorder="1" applyAlignment="1">
      <alignment horizontal="right" vertical="center" shrinkToFit="1"/>
    </xf>
    <xf numFmtId="14" fontId="14" fillId="0" borderId="38" xfId="0" applyNumberFormat="1" applyFont="1" applyBorder="1" applyAlignment="1">
      <alignment horizontal="right" vertical="center" shrinkToFit="1"/>
    </xf>
    <xf numFmtId="0" fontId="13" fillId="0" borderId="46" xfId="0" applyFont="1" applyBorder="1" applyAlignment="1">
      <alignment horizontal="right" vertical="center" shrinkToFit="1"/>
    </xf>
    <xf numFmtId="0" fontId="13" fillId="0" borderId="55" xfId="0" applyFont="1" applyBorder="1" applyAlignment="1">
      <alignment horizontal="right" vertical="center" shrinkToFit="1"/>
    </xf>
    <xf numFmtId="0" fontId="13" fillId="0" borderId="43" xfId="0" applyFont="1" applyBorder="1" applyAlignment="1">
      <alignment horizontal="left" vertical="center"/>
    </xf>
    <xf numFmtId="0" fontId="13" fillId="0" borderId="56" xfId="0" applyFont="1" applyBorder="1" applyAlignment="1">
      <alignment horizontal="left" vertical="center"/>
    </xf>
    <xf numFmtId="0" fontId="13" fillId="0" borderId="57" xfId="0" applyFont="1" applyBorder="1" applyAlignment="1">
      <alignment horizontal="left" vertical="center"/>
    </xf>
    <xf numFmtId="0" fontId="13" fillId="11" borderId="13" xfId="0" applyFont="1" applyFill="1" applyBorder="1" applyAlignment="1">
      <alignment horizontal="left" vertical="center" wrapText="1"/>
    </xf>
    <xf numFmtId="0" fontId="13" fillId="11" borderId="32" xfId="0" applyFont="1" applyFill="1" applyBorder="1" applyAlignment="1">
      <alignment horizontal="left" vertical="center" wrapText="1"/>
    </xf>
    <xf numFmtId="0" fontId="13" fillId="11" borderId="14" xfId="0" applyFont="1" applyFill="1" applyBorder="1" applyAlignment="1">
      <alignment horizontal="center" vertical="center" wrapText="1"/>
    </xf>
    <xf numFmtId="0" fontId="13" fillId="11" borderId="33" xfId="0" applyFont="1" applyFill="1" applyBorder="1" applyAlignment="1">
      <alignment horizontal="center" vertical="center" wrapText="1"/>
    </xf>
    <xf numFmtId="0" fontId="14" fillId="11" borderId="38" xfId="0" applyFont="1" applyFill="1" applyBorder="1" applyAlignment="1">
      <alignment horizontal="center" vertical="center" wrapText="1" shrinkToFit="1"/>
    </xf>
    <xf numFmtId="193" fontId="14" fillId="0" borderId="14" xfId="0" applyNumberFormat="1" applyFont="1" applyBorder="1" applyAlignment="1">
      <alignment horizontal="right" vertical="center" shrinkToFit="1"/>
    </xf>
    <xf numFmtId="0" fontId="13" fillId="0" borderId="33" xfId="0" applyFont="1" applyBorder="1" applyAlignment="1">
      <alignment horizontal="left" vertical="center" wrapText="1"/>
    </xf>
    <xf numFmtId="193" fontId="14" fillId="0" borderId="5" xfId="0" applyNumberFormat="1" applyFont="1" applyBorder="1" applyAlignment="1">
      <alignment horizontal="right" vertical="center" shrinkToFit="1"/>
    </xf>
    <xf numFmtId="193" fontId="14" fillId="0" borderId="38" xfId="0" applyNumberFormat="1" applyFont="1" applyBorder="1" applyAlignment="1">
      <alignment horizontal="right" vertical="center" shrinkToFit="1"/>
    </xf>
    <xf numFmtId="193" fontId="14" fillId="12" borderId="47" xfId="0" applyNumberFormat="1" applyFont="1" applyFill="1" applyBorder="1" applyAlignment="1">
      <alignment horizontal="right" vertical="center" shrinkToFit="1"/>
    </xf>
    <xf numFmtId="0" fontId="11" fillId="0" borderId="6" xfId="0" applyFont="1" applyBorder="1" applyAlignment="1">
      <alignment horizontal="left" vertical="center" wrapText="1"/>
    </xf>
    <xf numFmtId="193" fontId="14" fillId="12" borderId="7" xfId="0" applyNumberFormat="1" applyFont="1" applyFill="1" applyBorder="1" applyAlignment="1">
      <alignment horizontal="right" vertical="center" shrinkToFit="1"/>
    </xf>
    <xf numFmtId="176" fontId="14" fillId="12" borderId="47" xfId="0" applyNumberFormat="1" applyFont="1" applyFill="1" applyBorder="1" applyAlignment="1">
      <alignment horizontal="right" vertical="center" shrinkToFit="1"/>
    </xf>
    <xf numFmtId="193" fontId="14" fillId="12" borderId="15" xfId="0" applyNumberFormat="1" applyFont="1" applyFill="1" applyBorder="1" applyAlignment="1">
      <alignment horizontal="right" vertical="center" shrinkToFit="1"/>
    </xf>
    <xf numFmtId="0" fontId="14" fillId="0" borderId="9" xfId="0" applyFont="1" applyBorder="1" applyAlignment="1">
      <alignment vertical="center"/>
    </xf>
    <xf numFmtId="0" fontId="14" fillId="0" borderId="16" xfId="0" applyFont="1" applyBorder="1" applyAlignment="1">
      <alignment vertical="center"/>
    </xf>
    <xf numFmtId="0" fontId="50" fillId="0" borderId="0" xfId="0" applyFont="1" applyAlignment="1">
      <alignment vertical="center"/>
    </xf>
    <xf numFmtId="0" fontId="51" fillId="0" borderId="0" xfId="0" applyFont="1" applyAlignment="1">
      <alignment vertical="center"/>
    </xf>
    <xf numFmtId="0" fontId="52" fillId="0" borderId="0" xfId="0" applyFont="1" applyAlignment="1">
      <alignment vertical="center"/>
    </xf>
    <xf numFmtId="0" fontId="13" fillId="3" borderId="19"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3" fillId="3" borderId="37" xfId="209" applyFont="1" applyFill="1" applyBorder="1" applyAlignment="1">
      <alignment horizontal="center" vertical="center"/>
    </xf>
    <xf numFmtId="0" fontId="14" fillId="3" borderId="4"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3" fillId="3" borderId="51"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13" fillId="0" borderId="5" xfId="0" applyFont="1" applyBorder="1" applyAlignment="1">
      <alignment horizontal="center" vertical="center"/>
    </xf>
    <xf numFmtId="0" fontId="7" fillId="0" borderId="6" xfId="0" applyFont="1" applyBorder="1" applyAlignment="1">
      <alignment horizontal="center" vertical="center" wrapText="1"/>
    </xf>
    <xf numFmtId="0" fontId="7" fillId="0" borderId="34"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7" xfId="0" applyFont="1" applyBorder="1" applyAlignment="1">
      <alignment horizontal="center" vertical="center"/>
    </xf>
    <xf numFmtId="0" fontId="7" fillId="0" borderId="12" xfId="209" applyFont="1" applyBorder="1" applyAlignment="1">
      <alignment vertical="center"/>
    </xf>
    <xf numFmtId="0" fontId="7" fillId="0" borderId="0" xfId="209" applyFont="1" applyAlignment="1">
      <alignment vertical="center"/>
    </xf>
    <xf numFmtId="0" fontId="13" fillId="0" borderId="8" xfId="209" applyFont="1" applyBorder="1" applyAlignment="1">
      <alignment vertical="center"/>
    </xf>
    <xf numFmtId="0" fontId="14" fillId="0" borderId="9" xfId="209" applyFont="1" applyBorder="1" applyAlignment="1">
      <alignment vertical="center"/>
    </xf>
    <xf numFmtId="0" fontId="14" fillId="0" borderId="10" xfId="209" applyFont="1" applyBorder="1" applyAlignment="1">
      <alignment vertical="center"/>
    </xf>
    <xf numFmtId="0" fontId="14" fillId="0" borderId="11" xfId="209" applyFont="1" applyBorder="1" applyAlignment="1">
      <alignment vertical="center"/>
    </xf>
    <xf numFmtId="0" fontId="14" fillId="0" borderId="12" xfId="209" applyFont="1" applyBorder="1" applyAlignment="1">
      <alignment vertical="center"/>
    </xf>
    <xf numFmtId="0" fontId="13" fillId="0" borderId="0" xfId="209" applyFont="1" applyAlignment="1">
      <alignment vertical="center"/>
    </xf>
    <xf numFmtId="0" fontId="14" fillId="3" borderId="50" xfId="209" applyFont="1" applyFill="1" applyBorder="1" applyAlignment="1">
      <alignment horizontal="center" vertical="center"/>
    </xf>
    <xf numFmtId="0" fontId="13" fillId="3" borderId="3" xfId="209" applyFont="1" applyFill="1" applyBorder="1" applyAlignment="1">
      <alignment horizontal="center" vertical="center"/>
    </xf>
    <xf numFmtId="0" fontId="14" fillId="3" borderId="3" xfId="209" applyFont="1" applyFill="1" applyBorder="1" applyAlignment="1">
      <alignment horizontal="center" vertical="center"/>
    </xf>
    <xf numFmtId="0" fontId="13" fillId="3" borderId="58" xfId="209" applyFont="1" applyFill="1" applyBorder="1" applyAlignment="1">
      <alignment horizontal="center" vertical="center"/>
    </xf>
    <xf numFmtId="0" fontId="14" fillId="3" borderId="9" xfId="209" applyFont="1" applyFill="1" applyBorder="1" applyAlignment="1">
      <alignment horizontal="center" vertical="center"/>
    </xf>
    <xf numFmtId="0" fontId="14" fillId="3" borderId="16" xfId="209" applyFont="1" applyFill="1" applyBorder="1" applyAlignment="1">
      <alignment horizontal="center" vertical="center"/>
    </xf>
    <xf numFmtId="0" fontId="13" fillId="3" borderId="14" xfId="0" applyFont="1" applyFill="1" applyBorder="1" applyAlignment="1">
      <alignment horizontal="center" vertical="center" wrapText="1"/>
    </xf>
    <xf numFmtId="176" fontId="14" fillId="4" borderId="14" xfId="0" applyNumberFormat="1" applyFont="1" applyFill="1" applyBorder="1" applyAlignment="1">
      <alignment horizontal="right" vertical="center" shrinkToFit="1"/>
    </xf>
    <xf numFmtId="176" fontId="31" fillId="4" borderId="15" xfId="1" applyFont="1" applyFill="1" applyBorder="1" applyAlignment="1">
      <alignment horizontal="right" vertical="center" shrinkToFit="1"/>
    </xf>
    <xf numFmtId="0" fontId="14" fillId="0" borderId="16" xfId="209" applyFont="1" applyBorder="1" applyAlignment="1">
      <alignment vertical="center"/>
    </xf>
    <xf numFmtId="0" fontId="14" fillId="0" borderId="17" xfId="209" applyFont="1" applyBorder="1" applyAlignment="1">
      <alignment vertical="center"/>
    </xf>
    <xf numFmtId="0" fontId="14" fillId="0" borderId="18" xfId="209" applyFont="1" applyBorder="1" applyAlignment="1">
      <alignment vertical="center"/>
    </xf>
    <xf numFmtId="0" fontId="13" fillId="3" borderId="19" xfId="0" applyFont="1" applyFill="1" applyBorder="1" applyAlignment="1">
      <alignment horizontal="center" vertical="center"/>
    </xf>
    <xf numFmtId="176" fontId="14" fillId="4" borderId="6" xfId="0" applyNumberFormat="1" applyFont="1" applyFill="1" applyBorder="1" applyAlignment="1">
      <alignment horizontal="right" vertical="center" shrinkToFit="1"/>
    </xf>
    <xf numFmtId="176" fontId="14" fillId="4" borderId="15" xfId="1" applyFont="1" applyFill="1" applyBorder="1" applyAlignment="1">
      <alignment horizontal="right" vertical="center" shrinkToFit="1"/>
    </xf>
    <xf numFmtId="0" fontId="4" fillId="4" borderId="0" xfId="0" applyFont="1" applyFill="1" applyAlignment="1">
      <alignment horizontal="center" vertical="center"/>
    </xf>
    <xf numFmtId="0" fontId="13" fillId="0" borderId="6" xfId="0" applyFont="1" applyBorder="1" applyAlignment="1">
      <alignment horizontal="center" vertical="center"/>
    </xf>
    <xf numFmtId="0" fontId="13" fillId="4" borderId="0" xfId="0" applyFont="1" applyFill="1" applyAlignment="1">
      <alignment vertical="center"/>
    </xf>
    <xf numFmtId="0" fontId="13" fillId="3" borderId="19" xfId="0" applyFont="1" applyFill="1" applyBorder="1" applyAlignment="1" applyProtection="1">
      <alignment horizontal="center" vertical="center" wrapText="1"/>
      <protection hidden="1"/>
    </xf>
    <xf numFmtId="0" fontId="13" fillId="3" borderId="3" xfId="0" applyFont="1" applyFill="1" applyBorder="1" applyAlignment="1" applyProtection="1">
      <alignment horizontal="center" vertical="center" wrapText="1"/>
      <protection hidden="1"/>
    </xf>
    <xf numFmtId="0" fontId="13" fillId="3" borderId="4" xfId="0" applyFont="1" applyFill="1" applyBorder="1" applyAlignment="1" applyProtection="1">
      <alignment horizontal="center" vertical="center" wrapText="1"/>
      <protection hidden="1"/>
    </xf>
    <xf numFmtId="0" fontId="13" fillId="3" borderId="5" xfId="0" applyFont="1" applyFill="1" applyBorder="1" applyAlignment="1" applyProtection="1">
      <alignment horizontal="center" vertical="center" wrapText="1"/>
      <protection hidden="1"/>
    </xf>
    <xf numFmtId="0" fontId="13" fillId="0" borderId="4" xfId="0" applyFont="1" applyBorder="1" applyAlignment="1">
      <alignment vertical="center"/>
    </xf>
    <xf numFmtId="49" fontId="13" fillId="4" borderId="5" xfId="0" applyNumberFormat="1" applyFont="1" applyFill="1" applyBorder="1" applyAlignment="1" applyProtection="1">
      <alignment vertical="center"/>
      <protection locked="0"/>
    </xf>
    <xf numFmtId="0" fontId="7" fillId="0" borderId="4" xfId="0" applyFont="1" applyBorder="1" applyAlignment="1">
      <alignment vertical="center"/>
    </xf>
    <xf numFmtId="0" fontId="42" fillId="0" borderId="4" xfId="0" applyFont="1" applyBorder="1" applyAlignment="1">
      <alignment vertical="center"/>
    </xf>
    <xf numFmtId="0" fontId="13" fillId="0" borderId="6" xfId="0" applyFont="1" applyBorder="1" applyAlignment="1">
      <alignment vertical="center"/>
    </xf>
    <xf numFmtId="49" fontId="13" fillId="4" borderId="7" xfId="0" applyNumberFormat="1" applyFont="1" applyFill="1" applyBorder="1" applyAlignment="1" applyProtection="1">
      <alignment vertical="center"/>
      <protection locked="0"/>
    </xf>
    <xf numFmtId="0" fontId="13" fillId="3" borderId="13" xfId="0" applyFont="1" applyFill="1" applyBorder="1" applyAlignment="1">
      <alignment horizontal="center" vertical="center" wrapText="1"/>
    </xf>
    <xf numFmtId="0" fontId="14" fillId="0" borderId="0" xfId="0" applyFont="1" applyAlignment="1">
      <alignment vertical="center" wrapText="1"/>
    </xf>
    <xf numFmtId="176" fontId="14" fillId="4" borderId="0" xfId="1" applyFont="1" applyFill="1" applyBorder="1" applyAlignment="1">
      <alignment horizontal="right" vertical="center" shrinkToFit="1"/>
    </xf>
    <xf numFmtId="0" fontId="13" fillId="11" borderId="3" xfId="0" applyFont="1" applyFill="1" applyBorder="1" applyAlignment="1" applyProtection="1">
      <alignment horizontal="center" vertical="center"/>
      <protection hidden="1"/>
    </xf>
    <xf numFmtId="0" fontId="13" fillId="11" borderId="13" xfId="0" applyFont="1" applyFill="1" applyBorder="1" applyAlignment="1" applyProtection="1">
      <alignment horizontal="center" vertical="center" wrapText="1"/>
      <protection hidden="1"/>
    </xf>
    <xf numFmtId="0" fontId="13" fillId="11" borderId="5" xfId="0" applyFont="1" applyFill="1" applyBorder="1" applyAlignment="1" applyProtection="1">
      <alignment horizontal="center" vertical="center"/>
      <protection hidden="1"/>
    </xf>
    <xf numFmtId="0" fontId="13" fillId="11" borderId="14" xfId="0" applyFont="1" applyFill="1" applyBorder="1" applyAlignment="1" applyProtection="1">
      <alignment horizontal="center" vertical="center" wrapText="1"/>
      <protection hidden="1"/>
    </xf>
    <xf numFmtId="0" fontId="7" fillId="0" borderId="5" xfId="0" applyFont="1" applyBorder="1" applyAlignment="1">
      <alignment vertical="center"/>
    </xf>
    <xf numFmtId="176" fontId="31" fillId="0" borderId="5" xfId="1" applyFont="1" applyBorder="1" applyAlignment="1">
      <alignment horizontal="right" vertical="center" shrinkToFit="1"/>
    </xf>
    <xf numFmtId="0" fontId="7" fillId="0" borderId="14" xfId="0" applyFont="1" applyBorder="1" applyAlignment="1">
      <alignment vertical="center"/>
    </xf>
    <xf numFmtId="0" fontId="13" fillId="0" borderId="5" xfId="209" applyFont="1" applyBorder="1" applyAlignment="1">
      <alignment vertical="center"/>
    </xf>
    <xf numFmtId="0" fontId="13" fillId="0" borderId="14" xfId="209" applyFont="1" applyBorder="1" applyAlignment="1">
      <alignment vertical="center"/>
    </xf>
    <xf numFmtId="0" fontId="42" fillId="0" borderId="5" xfId="0" applyFont="1" applyBorder="1" applyAlignment="1">
      <alignment vertical="center"/>
    </xf>
    <xf numFmtId="176" fontId="29" fillId="0" borderId="5" xfId="1" applyFont="1" applyBorder="1" applyAlignment="1">
      <alignment horizontal="right" vertical="center" shrinkToFit="1"/>
    </xf>
    <xf numFmtId="0" fontId="42" fillId="0" borderId="14" xfId="0" applyFont="1" applyBorder="1" applyAlignment="1">
      <alignment vertical="center"/>
    </xf>
    <xf numFmtId="176" fontId="29" fillId="0" borderId="5" xfId="1" applyFont="1" applyFill="1" applyBorder="1" applyAlignment="1">
      <alignment horizontal="right" vertical="center" shrinkToFit="1"/>
    </xf>
    <xf numFmtId="0" fontId="13" fillId="0" borderId="7" xfId="0" applyFont="1" applyBorder="1" applyAlignment="1">
      <alignment vertical="center"/>
    </xf>
    <xf numFmtId="0" fontId="13" fillId="0" borderId="15" xfId="0" applyFont="1" applyBorder="1" applyAlignment="1">
      <alignment vertical="center"/>
    </xf>
    <xf numFmtId="0" fontId="13" fillId="3" borderId="5" xfId="209" applyFont="1" applyFill="1" applyBorder="1" applyAlignment="1">
      <alignment horizontal="center" vertical="center"/>
    </xf>
    <xf numFmtId="0" fontId="14" fillId="3" borderId="13" xfId="209" applyFont="1" applyFill="1" applyBorder="1" applyAlignment="1">
      <alignment horizontal="center" vertical="center"/>
    </xf>
    <xf numFmtId="0" fontId="13" fillId="3" borderId="3" xfId="0" applyFont="1" applyFill="1" applyBorder="1" applyAlignment="1" applyProtection="1">
      <alignment horizontal="center" vertical="center"/>
      <protection hidden="1"/>
    </xf>
    <xf numFmtId="0" fontId="13" fillId="3" borderId="5" xfId="0" applyFont="1" applyFill="1" applyBorder="1" applyAlignment="1" applyProtection="1">
      <alignment horizontal="center" vertical="center"/>
      <protection hidden="1"/>
    </xf>
    <xf numFmtId="0" fontId="13" fillId="3" borderId="1" xfId="0" applyFont="1" applyFill="1" applyBorder="1" applyAlignment="1">
      <alignment horizontal="center" vertical="center" wrapText="1"/>
    </xf>
    <xf numFmtId="0" fontId="13" fillId="3" borderId="9" xfId="209" applyFont="1" applyFill="1" applyBorder="1" applyAlignment="1">
      <alignment horizontal="center" vertical="center"/>
    </xf>
    <xf numFmtId="0" fontId="14" fillId="3" borderId="44" xfId="209" applyFont="1" applyFill="1" applyBorder="1" applyAlignment="1">
      <alignment horizontal="center" vertical="center"/>
    </xf>
    <xf numFmtId="0" fontId="14" fillId="3" borderId="59" xfId="0" applyFont="1" applyFill="1" applyBorder="1" applyAlignment="1">
      <alignment horizontal="center" vertical="center" wrapText="1"/>
    </xf>
    <xf numFmtId="0" fontId="14" fillId="3" borderId="51" xfId="0" applyFont="1" applyFill="1" applyBorder="1" applyAlignment="1">
      <alignment horizontal="center" vertical="center" wrapText="1"/>
    </xf>
    <xf numFmtId="0" fontId="31" fillId="0" borderId="6" xfId="0" applyFont="1" applyBorder="1" applyAlignment="1">
      <alignment horizontal="center" vertical="center" shrinkToFit="1"/>
    </xf>
    <xf numFmtId="0" fontId="31" fillId="0" borderId="34" xfId="0" applyFont="1" applyBorder="1" applyAlignment="1">
      <alignment horizontal="center" vertical="center" shrinkToFit="1"/>
    </xf>
    <xf numFmtId="176" fontId="31" fillId="0" borderId="7" xfId="0" applyNumberFormat="1" applyFont="1" applyBorder="1" applyAlignment="1">
      <alignment horizontal="right" vertical="center" shrinkToFit="1"/>
    </xf>
    <xf numFmtId="176" fontId="31" fillId="4" borderId="7" xfId="0" applyNumberFormat="1" applyFont="1" applyFill="1" applyBorder="1" applyAlignment="1">
      <alignment horizontal="right" vertical="center" shrinkToFit="1"/>
    </xf>
    <xf numFmtId="0" fontId="14" fillId="0" borderId="8" xfId="209" applyFont="1" applyBorder="1" applyAlignment="1">
      <alignment vertical="center"/>
    </xf>
    <xf numFmtId="0" fontId="53" fillId="0" borderId="0" xfId="209" applyFont="1" applyAlignment="1">
      <alignment horizontal="left" vertical="center" wrapText="1"/>
    </xf>
    <xf numFmtId="0" fontId="13" fillId="3" borderId="16" xfId="0" applyFont="1" applyFill="1" applyBorder="1" applyAlignment="1">
      <alignment horizontal="center" vertical="center" wrapText="1"/>
    </xf>
    <xf numFmtId="0" fontId="14" fillId="3" borderId="60" xfId="0" applyFont="1" applyFill="1" applyBorder="1" applyAlignment="1">
      <alignment horizontal="center" vertical="center" wrapText="1"/>
    </xf>
    <xf numFmtId="0" fontId="1" fillId="0" borderId="55" xfId="0" applyFont="1" applyBorder="1" applyAlignment="1">
      <alignment horizontal="left" vertical="center" wrapText="1" shrinkToFit="1"/>
    </xf>
    <xf numFmtId="0" fontId="54" fillId="0" borderId="53" xfId="0" applyFont="1" applyBorder="1" applyAlignment="1">
      <alignment horizontal="left" vertical="center" wrapText="1"/>
    </xf>
    <xf numFmtId="0" fontId="25" fillId="2" borderId="0" xfId="68" applyFont="1" applyFill="1">
      <alignment vertical="center"/>
    </xf>
    <xf numFmtId="0" fontId="7" fillId="2" borderId="0" xfId="68" applyFont="1" applyFill="1">
      <alignment vertical="center"/>
    </xf>
    <xf numFmtId="0" fontId="30" fillId="2" borderId="0" xfId="68" applyFont="1" applyFill="1" applyAlignment="1">
      <alignment horizontal="right" vertical="center"/>
    </xf>
    <xf numFmtId="0" fontId="55" fillId="2" borderId="0" xfId="68" applyFont="1" applyFill="1" applyAlignment="1">
      <alignment horizontal="left" vertical="center"/>
    </xf>
    <xf numFmtId="49" fontId="30" fillId="2" borderId="0" xfId="68" applyNumberFormat="1" applyFont="1" applyFill="1" applyAlignment="1">
      <alignment horizontal="left" vertical="center"/>
    </xf>
    <xf numFmtId="14" fontId="7" fillId="2" borderId="0" xfId="68" applyNumberFormat="1" applyFont="1" applyFill="1" applyAlignment="1">
      <alignment horizontal="right" vertical="center" shrinkToFit="1"/>
    </xf>
    <xf numFmtId="49" fontId="7" fillId="2" borderId="0" xfId="68" applyNumberFormat="1" applyFont="1" applyFill="1" applyAlignment="1">
      <alignment horizontal="left" vertical="center"/>
    </xf>
    <xf numFmtId="0" fontId="7" fillId="2" borderId="0" xfId="68" applyFont="1" applyFill="1" applyAlignment="1">
      <alignment horizontal="left" vertical="center"/>
    </xf>
    <xf numFmtId="0" fontId="7" fillId="2" borderId="0" xfId="68" applyFont="1" applyFill="1" applyAlignment="1">
      <alignment horizontal="centerContinuous" vertical="center"/>
    </xf>
    <xf numFmtId="0" fontId="56" fillId="14" borderId="61" xfId="0" applyFont="1" applyFill="1" applyBorder="1" applyAlignment="1">
      <alignment horizontal="center" vertical="center" wrapText="1"/>
    </xf>
    <xf numFmtId="0" fontId="56" fillId="14" borderId="62" xfId="0" applyFont="1" applyFill="1" applyBorder="1" applyAlignment="1">
      <alignment horizontal="center" vertical="center" wrapText="1"/>
    </xf>
    <xf numFmtId="0" fontId="56" fillId="14" borderId="63" xfId="0" applyFont="1" applyFill="1" applyBorder="1" applyAlignment="1">
      <alignment horizontal="center" vertical="center" wrapText="1"/>
    </xf>
    <xf numFmtId="0" fontId="13" fillId="0" borderId="4" xfId="209" applyFont="1" applyBorder="1" applyAlignment="1">
      <alignment horizontal="left" vertical="center"/>
    </xf>
    <xf numFmtId="10" fontId="31" fillId="4" borderId="14" xfId="1" applyNumberFormat="1" applyFont="1" applyFill="1" applyBorder="1" applyAlignment="1">
      <alignment horizontal="right" vertical="center" shrinkToFit="1"/>
    </xf>
    <xf numFmtId="176" fontId="23" fillId="4" borderId="5" xfId="1" applyFont="1" applyFill="1" applyBorder="1" applyAlignment="1">
      <alignment horizontal="right" vertical="center" shrinkToFit="1"/>
    </xf>
    <xf numFmtId="0" fontId="7" fillId="0" borderId="6" xfId="209" applyFont="1" applyBorder="1" applyAlignment="1">
      <alignment horizontal="center" vertical="center"/>
    </xf>
    <xf numFmtId="0" fontId="14" fillId="0" borderId="15" xfId="1" applyNumberFormat="1" applyFont="1" applyFill="1" applyBorder="1" applyAlignment="1">
      <alignment horizontal="center" vertical="center" shrinkToFit="1"/>
    </xf>
    <xf numFmtId="0" fontId="31" fillId="0" borderId="0" xfId="209" applyFont="1" applyAlignment="1">
      <alignment horizontal="left" vertical="center"/>
    </xf>
    <xf numFmtId="0" fontId="7" fillId="0" borderId="0" xfId="209" applyFont="1" applyAlignment="1">
      <alignment horizontal="left" vertical="center"/>
    </xf>
    <xf numFmtId="0" fontId="1" fillId="0" borderId="8" xfId="209" applyFont="1" applyBorder="1" applyAlignment="1">
      <alignment vertical="center"/>
    </xf>
    <xf numFmtId="0" fontId="14" fillId="0" borderId="9" xfId="209" applyFont="1" applyBorder="1" applyAlignment="1">
      <alignment horizontal="left" vertical="center"/>
    </xf>
    <xf numFmtId="176" fontId="14" fillId="0" borderId="9" xfId="1" applyFont="1" applyFill="1" applyBorder="1" applyAlignment="1">
      <alignment horizontal="right" vertical="center" shrinkToFit="1"/>
    </xf>
    <xf numFmtId="0" fontId="1" fillId="0" borderId="10" xfId="209" applyFont="1" applyBorder="1" applyAlignment="1">
      <alignment vertical="center"/>
    </xf>
    <xf numFmtId="0" fontId="14" fillId="0" borderId="0" xfId="209" applyFont="1" applyAlignment="1">
      <alignment horizontal="left" vertical="center"/>
    </xf>
    <xf numFmtId="0" fontId="31" fillId="0" borderId="11" xfId="209" applyFont="1" applyBorder="1" applyAlignment="1">
      <alignment horizontal="right" vertical="center"/>
    </xf>
    <xf numFmtId="0" fontId="14" fillId="0" borderId="12" xfId="209" applyFont="1" applyBorder="1" applyAlignment="1">
      <alignment horizontal="left" vertical="center"/>
    </xf>
    <xf numFmtId="176" fontId="14" fillId="0" borderId="12" xfId="1" applyFont="1" applyFill="1" applyBorder="1" applyAlignment="1">
      <alignment horizontal="right" vertical="center" shrinkToFit="1"/>
    </xf>
    <xf numFmtId="0" fontId="2" fillId="0" borderId="0" xfId="209" applyFont="1" applyAlignment="1">
      <alignment horizontal="left" vertical="center"/>
    </xf>
    <xf numFmtId="0" fontId="1" fillId="0" borderId="0" xfId="209" applyFont="1" applyAlignment="1">
      <alignment horizontal="left" vertical="center"/>
    </xf>
    <xf numFmtId="176" fontId="14" fillId="0" borderId="0" xfId="248" applyFont="1" applyFill="1" applyBorder="1" applyAlignment="1">
      <alignment horizontal="right" vertical="center" shrinkToFit="1"/>
    </xf>
    <xf numFmtId="0" fontId="2" fillId="0" borderId="0" xfId="209" applyFont="1" applyAlignment="1">
      <alignment horizontal="left" vertical="top"/>
    </xf>
    <xf numFmtId="0" fontId="56" fillId="0" borderId="0" xfId="0" applyFont="1" applyAlignment="1" applyProtection="1">
      <alignment horizontal="left" vertical="center"/>
      <protection locked="0"/>
    </xf>
    <xf numFmtId="0" fontId="14" fillId="0" borderId="0" xfId="191" applyFont="1" applyAlignment="1">
      <alignment vertical="center"/>
    </xf>
    <xf numFmtId="176" fontId="14" fillId="0" borderId="0" xfId="248" applyFont="1" applyFill="1" applyAlignment="1">
      <alignment horizontal="right" vertical="center" shrinkToFit="1"/>
    </xf>
    <xf numFmtId="0" fontId="13" fillId="0" borderId="0" xfId="0" applyFont="1" applyAlignment="1" applyProtection="1">
      <alignment vertical="center"/>
      <protection hidden="1"/>
    </xf>
    <xf numFmtId="0" fontId="7" fillId="2" borderId="0" xfId="68" applyFont="1" applyFill="1" applyAlignment="1">
      <alignment horizontal="center" vertical="center"/>
    </xf>
    <xf numFmtId="0" fontId="5" fillId="2" borderId="0" xfId="191" applyFont="1" applyFill="1" applyAlignment="1">
      <alignment vertical="center"/>
    </xf>
    <xf numFmtId="0" fontId="2" fillId="2" borderId="0" xfId="191" applyFont="1" applyFill="1" applyAlignment="1">
      <alignment vertical="center" wrapText="1"/>
    </xf>
    <xf numFmtId="0" fontId="2" fillId="2" borderId="0" xfId="191" applyFont="1" applyFill="1" applyAlignment="1">
      <alignment vertical="center"/>
    </xf>
    <xf numFmtId="0" fontId="2" fillId="2" borderId="0" xfId="211" applyFont="1" applyFill="1" applyAlignment="1">
      <alignment vertical="center" wrapText="1"/>
    </xf>
    <xf numFmtId="0" fontId="2" fillId="2" borderId="0" xfId="211" applyFont="1" applyFill="1" applyAlignment="1">
      <alignment vertical="center"/>
    </xf>
    <xf numFmtId="0" fontId="7" fillId="2" borderId="0" xfId="0" applyFont="1" applyFill="1" applyAlignment="1">
      <alignment vertical="center" wrapText="1"/>
    </xf>
    <xf numFmtId="0" fontId="13" fillId="3" borderId="2" xfId="0" applyFont="1" applyFill="1" applyBorder="1" applyAlignment="1" applyProtection="1">
      <alignment horizontal="center" vertical="center"/>
      <protection hidden="1"/>
    </xf>
    <xf numFmtId="0" fontId="13" fillId="11" borderId="32" xfId="0" applyFont="1" applyFill="1" applyBorder="1" applyAlignment="1" applyProtection="1">
      <alignment horizontal="center" vertical="center"/>
      <protection hidden="1"/>
    </xf>
    <xf numFmtId="0" fontId="13" fillId="3" borderId="51" xfId="0" applyFont="1" applyFill="1" applyBorder="1" applyAlignment="1" applyProtection="1">
      <alignment horizontal="center" vertical="center"/>
      <protection hidden="1"/>
    </xf>
    <xf numFmtId="0" fontId="13" fillId="11" borderId="64" xfId="0" applyFont="1" applyFill="1" applyBorder="1" applyAlignment="1" applyProtection="1">
      <alignment horizontal="center" vertical="center"/>
      <protection hidden="1"/>
    </xf>
    <xf numFmtId="0" fontId="13" fillId="0" borderId="65" xfId="0" applyFont="1" applyBorder="1" applyAlignment="1" applyProtection="1">
      <alignment horizontal="center" vertical="center"/>
      <protection hidden="1"/>
    </xf>
    <xf numFmtId="0" fontId="13" fillId="0" borderId="66" xfId="0" applyFont="1" applyBorder="1" applyAlignment="1" applyProtection="1">
      <alignment horizontal="right" vertical="center" wrapText="1"/>
      <protection hidden="1"/>
    </xf>
    <xf numFmtId="198" fontId="14" fillId="8" borderId="67" xfId="0" applyNumberFormat="1" applyFont="1" applyFill="1" applyBorder="1" applyAlignment="1" applyProtection="1">
      <alignment horizontal="right" vertical="center" shrinkToFit="1"/>
      <protection hidden="1"/>
    </xf>
    <xf numFmtId="0" fontId="13" fillId="8" borderId="68" xfId="0" applyFont="1" applyFill="1" applyBorder="1" applyAlignment="1" applyProtection="1">
      <alignment horizontal="right" vertical="center" shrinkToFit="1"/>
      <protection hidden="1"/>
    </xf>
    <xf numFmtId="0" fontId="13" fillId="8" borderId="69" xfId="0" applyFont="1" applyFill="1" applyBorder="1" applyAlignment="1" applyProtection="1">
      <alignment horizontal="right" vertical="center" shrinkToFit="1"/>
      <protection hidden="1"/>
    </xf>
    <xf numFmtId="0" fontId="57" fillId="0" borderId="70" xfId="0" applyFont="1" applyBorder="1" applyAlignment="1" applyProtection="1">
      <alignment horizontal="center" vertical="center"/>
      <protection hidden="1"/>
    </xf>
    <xf numFmtId="176" fontId="14" fillId="12" borderId="66" xfId="0" applyNumberFormat="1" applyFont="1" applyFill="1" applyBorder="1" applyAlignment="1" applyProtection="1">
      <alignment horizontal="right" vertical="center" shrinkToFit="1"/>
      <protection hidden="1"/>
    </xf>
    <xf numFmtId="0" fontId="13" fillId="0" borderId="65" xfId="0" applyFont="1" applyBorder="1" applyAlignment="1" applyProtection="1">
      <alignment horizontal="center" vertical="center"/>
      <protection locked="0"/>
    </xf>
    <xf numFmtId="0" fontId="13" fillId="0" borderId="66" xfId="0" applyFont="1" applyBorder="1" applyAlignment="1" applyProtection="1">
      <alignment horizontal="left" vertical="center" wrapText="1"/>
      <protection locked="0"/>
    </xf>
    <xf numFmtId="49" fontId="13" fillId="4" borderId="66" xfId="0" applyNumberFormat="1" applyFont="1" applyFill="1" applyBorder="1" applyAlignment="1" applyProtection="1">
      <alignment vertical="center"/>
      <protection locked="0"/>
    </xf>
    <xf numFmtId="49" fontId="13" fillId="0" borderId="66" xfId="0" applyNumberFormat="1" applyFont="1" applyBorder="1" applyAlignment="1" applyProtection="1">
      <alignment vertical="center"/>
      <protection locked="0"/>
    </xf>
    <xf numFmtId="176" fontId="14" fillId="0" borderId="66" xfId="0" applyNumberFormat="1" applyFont="1" applyBorder="1" applyAlignment="1" applyProtection="1">
      <alignment horizontal="right" vertical="center" shrinkToFit="1"/>
      <protection locked="0"/>
    </xf>
    <xf numFmtId="0" fontId="58" fillId="15" borderId="71" xfId="67" applyFont="1" applyFill="1" applyBorder="1" applyAlignment="1" applyProtection="1">
      <alignment vertical="center" textRotation="255"/>
      <protection locked="0"/>
    </xf>
    <xf numFmtId="0" fontId="13" fillId="0" borderId="72" xfId="0" applyFont="1" applyBorder="1" applyAlignment="1" applyProtection="1">
      <alignment horizontal="center" vertical="center"/>
      <protection locked="0"/>
    </xf>
    <xf numFmtId="0" fontId="13" fillId="0" borderId="73" xfId="0" applyFont="1" applyBorder="1" applyAlignment="1" applyProtection="1">
      <alignment horizontal="left" vertical="center" wrapText="1"/>
      <protection locked="0"/>
    </xf>
    <xf numFmtId="49" fontId="13" fillId="4" borderId="73" xfId="0" applyNumberFormat="1" applyFont="1" applyFill="1" applyBorder="1" applyAlignment="1" applyProtection="1">
      <alignment vertical="center"/>
      <protection locked="0"/>
    </xf>
    <xf numFmtId="49" fontId="13" fillId="0" borderId="73" xfId="0" applyNumberFormat="1" applyFont="1" applyBorder="1" applyAlignment="1" applyProtection="1">
      <alignment vertical="center"/>
      <protection locked="0"/>
    </xf>
    <xf numFmtId="176" fontId="14" fillId="0" borderId="73" xfId="0" applyNumberFormat="1" applyFont="1" applyBorder="1" applyAlignment="1" applyProtection="1">
      <alignment horizontal="right" vertical="center" shrinkToFit="1"/>
      <protection locked="0"/>
    </xf>
    <xf numFmtId="0" fontId="2" fillId="2" borderId="0" xfId="209" applyFont="1" applyFill="1" applyAlignment="1">
      <alignment horizontal="right" vertical="center"/>
    </xf>
    <xf numFmtId="0" fontId="15" fillId="2" borderId="0" xfId="1" applyNumberFormat="1" applyFont="1" applyFill="1" applyBorder="1" applyAlignment="1">
      <alignment horizontal="left" vertical="center"/>
    </xf>
    <xf numFmtId="49" fontId="2" fillId="2" borderId="0" xfId="1" applyNumberFormat="1" applyFont="1" applyFill="1" applyBorder="1" applyAlignment="1">
      <alignment horizontal="left" vertical="center"/>
    </xf>
    <xf numFmtId="0" fontId="13" fillId="0" borderId="74" xfId="0" applyFont="1" applyBorder="1" applyAlignment="1" applyProtection="1">
      <alignment horizontal="left" vertical="center" wrapText="1"/>
      <protection hidden="1"/>
    </xf>
    <xf numFmtId="0" fontId="13" fillId="0" borderId="74" xfId="0" applyFont="1" applyBorder="1" applyAlignment="1" applyProtection="1">
      <alignment horizontal="left" vertical="center" wrapText="1"/>
      <protection locked="0"/>
    </xf>
    <xf numFmtId="0" fontId="13" fillId="0" borderId="18" xfId="0" applyFont="1" applyBorder="1" applyAlignment="1" applyProtection="1">
      <alignment horizontal="left" vertical="center" wrapText="1"/>
      <protection locked="0"/>
    </xf>
    <xf numFmtId="0" fontId="11" fillId="0" borderId="0" xfId="211" applyFont="1" applyAlignment="1">
      <alignment horizontal="center" vertical="center"/>
    </xf>
    <xf numFmtId="0" fontId="11" fillId="0" borderId="0" xfId="211" applyFont="1" applyAlignment="1">
      <alignment vertical="center"/>
    </xf>
    <xf numFmtId="193" fontId="26" fillId="2" borderId="0" xfId="211" applyNumberFormat="1" applyFont="1" applyFill="1" applyAlignment="1">
      <alignment horizontal="left" vertical="center"/>
    </xf>
    <xf numFmtId="193" fontId="7" fillId="2" borderId="0" xfId="211" applyNumberFormat="1" applyFont="1" applyFill="1" applyAlignment="1">
      <alignment horizontal="left" vertical="center"/>
    </xf>
    <xf numFmtId="49" fontId="7" fillId="2" borderId="0" xfId="211" applyNumberFormat="1" applyFont="1" applyFill="1" applyAlignment="1">
      <alignment vertical="center"/>
    </xf>
    <xf numFmtId="0" fontId="7" fillId="3" borderId="8" xfId="211" applyFont="1" applyFill="1" applyBorder="1" applyAlignment="1">
      <alignment horizontal="center" vertical="center"/>
    </xf>
    <xf numFmtId="0" fontId="7" fillId="3" borderId="9" xfId="211" applyFont="1" applyFill="1" applyBorder="1" applyAlignment="1">
      <alignment horizontal="center" vertical="center"/>
    </xf>
    <xf numFmtId="0" fontId="7" fillId="3" borderId="44" xfId="211" applyFont="1" applyFill="1" applyBorder="1" applyAlignment="1">
      <alignment horizontal="center" vertical="center"/>
    </xf>
    <xf numFmtId="0" fontId="13" fillId="3" borderId="3" xfId="211" applyFont="1" applyFill="1" applyBorder="1" applyAlignment="1">
      <alignment horizontal="center" vertical="center"/>
    </xf>
    <xf numFmtId="0" fontId="7" fillId="3" borderId="75" xfId="211" applyFont="1" applyFill="1" applyBorder="1" applyAlignment="1">
      <alignment horizontal="center" vertical="center"/>
    </xf>
    <xf numFmtId="0" fontId="7" fillId="3" borderId="76" xfId="211" applyFont="1" applyFill="1" applyBorder="1" applyAlignment="1">
      <alignment horizontal="center" vertical="center"/>
    </xf>
    <xf numFmtId="0" fontId="7" fillId="3" borderId="64" xfId="211" applyFont="1" applyFill="1" applyBorder="1" applyAlignment="1">
      <alignment horizontal="center" vertical="center"/>
    </xf>
    <xf numFmtId="0" fontId="13" fillId="3" borderId="5" xfId="216" applyFont="1" applyFill="1" applyBorder="1" applyAlignment="1">
      <alignment horizontal="center" vertical="center" wrapText="1"/>
    </xf>
    <xf numFmtId="0" fontId="13" fillId="0" borderId="45" xfId="211" applyFont="1" applyBorder="1" applyAlignment="1">
      <alignment horizontal="center" vertical="center"/>
    </xf>
    <xf numFmtId="0" fontId="13" fillId="0" borderId="33" xfId="211" applyFont="1" applyBorder="1" applyAlignment="1">
      <alignment horizontal="center" vertical="center"/>
    </xf>
    <xf numFmtId="0" fontId="13" fillId="0" borderId="64" xfId="0" applyFont="1" applyBorder="1" applyAlignment="1">
      <alignment horizontal="left" vertical="center" wrapText="1"/>
    </xf>
    <xf numFmtId="0" fontId="13" fillId="0" borderId="51" xfId="0" applyFont="1" applyBorder="1" applyAlignment="1">
      <alignment horizontal="left" vertical="center" wrapText="1"/>
    </xf>
    <xf numFmtId="0" fontId="13" fillId="0" borderId="5" xfId="216" applyFont="1" applyBorder="1" applyAlignment="1">
      <alignment horizontal="center" vertical="center" wrapText="1"/>
    </xf>
    <xf numFmtId="0" fontId="7" fillId="3" borderId="45" xfId="216" applyFont="1" applyFill="1" applyBorder="1" applyAlignment="1">
      <alignment horizontal="center" vertical="center" wrapText="1"/>
    </xf>
    <xf numFmtId="0" fontId="7" fillId="3" borderId="46" xfId="216" applyFont="1" applyFill="1" applyBorder="1" applyAlignment="1">
      <alignment horizontal="center" vertical="center" wrapText="1"/>
    </xf>
    <xf numFmtId="0" fontId="7" fillId="3" borderId="33" xfId="216" applyFont="1" applyFill="1" applyBorder="1" applyAlignment="1">
      <alignment horizontal="center" vertical="center" wrapText="1"/>
    </xf>
    <xf numFmtId="0" fontId="13" fillId="3" borderId="4" xfId="211" applyFont="1" applyFill="1" applyBorder="1" applyAlignment="1">
      <alignment horizontal="center" vertical="center"/>
    </xf>
    <xf numFmtId="0" fontId="13" fillId="3" borderId="64" xfId="211" applyFont="1" applyFill="1" applyBorder="1" applyAlignment="1">
      <alignment horizontal="center" vertical="center"/>
    </xf>
    <xf numFmtId="0" fontId="13" fillId="3" borderId="64" xfId="216" applyFont="1" applyFill="1" applyBorder="1" applyAlignment="1">
      <alignment horizontal="center" vertical="center" wrapText="1"/>
    </xf>
    <xf numFmtId="0" fontId="13" fillId="3" borderId="51" xfId="216" applyFont="1" applyFill="1" applyBorder="1" applyAlignment="1">
      <alignment horizontal="center" vertical="center" wrapText="1"/>
    </xf>
    <xf numFmtId="0" fontId="13" fillId="0" borderId="4" xfId="211" applyFont="1" applyBorder="1" applyAlignment="1">
      <alignment horizontal="center" vertical="center"/>
    </xf>
    <xf numFmtId="0" fontId="11" fillId="0" borderId="33" xfId="216" applyFont="1" applyBorder="1" applyAlignment="1">
      <alignment horizontal="left" vertical="center" wrapText="1"/>
    </xf>
    <xf numFmtId="0" fontId="11" fillId="0" borderId="33" xfId="216" applyFont="1" applyBorder="1" applyAlignment="1">
      <alignment horizontal="center" vertical="center" wrapText="1"/>
    </xf>
    <xf numFmtId="0" fontId="14" fillId="0" borderId="5" xfId="216" applyFont="1" applyBorder="1" applyAlignment="1">
      <alignment horizontal="center" vertical="center" wrapText="1"/>
    </xf>
    <xf numFmtId="0" fontId="13" fillId="0" borderId="39" xfId="211" applyFont="1" applyBorder="1" applyAlignment="1">
      <alignment horizontal="center" vertical="center"/>
    </xf>
    <xf numFmtId="0" fontId="13" fillId="0" borderId="41" xfId="211" applyFont="1" applyBorder="1" applyAlignment="1">
      <alignment horizontal="center" vertical="center"/>
    </xf>
    <xf numFmtId="0" fontId="13" fillId="0" borderId="41" xfId="216" applyFont="1" applyBorder="1" applyAlignment="1">
      <alignment horizontal="left" vertical="center" wrapText="1"/>
    </xf>
    <xf numFmtId="0" fontId="11" fillId="0" borderId="41" xfId="216" applyFont="1" applyBorder="1" applyAlignment="1">
      <alignment horizontal="center" vertical="center" wrapText="1"/>
    </xf>
    <xf numFmtId="0" fontId="31" fillId="0" borderId="41" xfId="216" applyFont="1" applyBorder="1" applyAlignment="1">
      <alignment horizontal="center" vertical="center" wrapText="1"/>
    </xf>
    <xf numFmtId="0" fontId="11" fillId="0" borderId="41" xfId="0" applyFont="1" applyBorder="1" applyAlignment="1">
      <alignment horizontal="center" vertical="center" wrapText="1"/>
    </xf>
    <xf numFmtId="0" fontId="13" fillId="0" borderId="59" xfId="211" applyFont="1" applyBorder="1" applyAlignment="1">
      <alignment horizontal="center" vertical="center"/>
    </xf>
    <xf numFmtId="0" fontId="13" fillId="0" borderId="51" xfId="211" applyFont="1" applyBorder="1" applyAlignment="1">
      <alignment horizontal="center" vertical="center"/>
    </xf>
    <xf numFmtId="0" fontId="11" fillId="0" borderId="51" xfId="216" applyFont="1" applyBorder="1" applyAlignment="1">
      <alignment horizontal="left" vertical="center" wrapText="1"/>
    </xf>
    <xf numFmtId="0" fontId="11" fillId="0" borderId="51" xfId="216" applyFont="1" applyBorder="1" applyAlignment="1">
      <alignment horizontal="center" vertical="center" wrapText="1"/>
    </xf>
    <xf numFmtId="0" fontId="31" fillId="0" borderId="51" xfId="216" applyFont="1" applyBorder="1" applyAlignment="1">
      <alignment horizontal="center" vertical="center" wrapText="1"/>
    </xf>
    <xf numFmtId="0" fontId="11" fillId="0" borderId="51" xfId="0" applyFont="1" applyBorder="1" applyAlignment="1">
      <alignment horizontal="center" vertical="center" wrapText="1"/>
    </xf>
    <xf numFmtId="0" fontId="13" fillId="0" borderId="33" xfId="216" applyFont="1" applyBorder="1" applyAlignment="1">
      <alignment horizontal="left" vertical="center" wrapText="1"/>
    </xf>
    <xf numFmtId="0" fontId="31" fillId="0" borderId="5" xfId="216" applyFont="1" applyBorder="1" applyAlignment="1">
      <alignment horizontal="center" vertical="center" wrapText="1"/>
    </xf>
    <xf numFmtId="0" fontId="11" fillId="0" borderId="5" xfId="0" applyFont="1" applyBorder="1" applyAlignment="1">
      <alignment horizontal="center" vertical="center" wrapText="1"/>
    </xf>
    <xf numFmtId="0" fontId="57" fillId="0" borderId="33" xfId="216" applyFont="1" applyBorder="1" applyAlignment="1">
      <alignment horizontal="left" vertical="center" wrapText="1"/>
    </xf>
    <xf numFmtId="49" fontId="31" fillId="0" borderId="5" xfId="216" applyNumberFormat="1" applyFont="1" applyBorder="1" applyAlignment="1">
      <alignment horizontal="center" vertical="center" wrapText="1"/>
    </xf>
    <xf numFmtId="0" fontId="13" fillId="0" borderId="33" xfId="216" applyFont="1" applyBorder="1" applyAlignment="1">
      <alignment horizontal="center" vertical="center" wrapText="1"/>
    </xf>
    <xf numFmtId="0" fontId="13" fillId="0" borderId="77" xfId="211" applyFont="1" applyBorder="1" applyAlignment="1">
      <alignment horizontal="center" vertical="center"/>
    </xf>
    <xf numFmtId="0" fontId="13" fillId="0" borderId="78" xfId="211" applyFont="1" applyBorder="1" applyAlignment="1">
      <alignment horizontal="center" vertical="center"/>
    </xf>
    <xf numFmtId="0" fontId="11" fillId="0" borderId="78" xfId="216" applyFont="1" applyBorder="1" applyAlignment="1">
      <alignment horizontal="left" vertical="center" wrapText="1"/>
    </xf>
    <xf numFmtId="0" fontId="11" fillId="0" borderId="78" xfId="216" applyFont="1" applyBorder="1" applyAlignment="1">
      <alignment horizontal="center" vertical="center" wrapText="1"/>
    </xf>
    <xf numFmtId="0" fontId="31" fillId="0" borderId="78" xfId="216" applyFont="1" applyBorder="1" applyAlignment="1">
      <alignment horizontal="center" vertical="center" wrapText="1"/>
    </xf>
    <xf numFmtId="0" fontId="11" fillId="0" borderId="78" xfId="0" applyFont="1" applyBorder="1" applyAlignment="1">
      <alignment horizontal="center" vertical="center" wrapText="1"/>
    </xf>
    <xf numFmtId="0" fontId="13" fillId="0" borderId="64" xfId="211" applyFont="1" applyBorder="1" applyAlignment="1">
      <alignment horizontal="center" vertical="center"/>
    </xf>
    <xf numFmtId="0" fontId="59" fillId="0" borderId="64" xfId="216" applyFont="1" applyBorder="1" applyAlignment="1">
      <alignment horizontal="left" vertical="center" wrapText="1"/>
    </xf>
    <xf numFmtId="0" fontId="11" fillId="0" borderId="64" xfId="216" applyFont="1" applyBorder="1" applyAlignment="1">
      <alignment horizontal="center" vertical="center" wrapText="1"/>
    </xf>
    <xf numFmtId="0" fontId="60" fillId="0" borderId="64" xfId="216" applyFont="1" applyBorder="1" applyAlignment="1">
      <alignment horizontal="left" vertical="center" wrapText="1"/>
    </xf>
    <xf numFmtId="0" fontId="60" fillId="0" borderId="33" xfId="216" applyFont="1" applyBorder="1" applyAlignment="1">
      <alignment horizontal="left" vertical="center" wrapText="1"/>
    </xf>
    <xf numFmtId="0" fontId="13" fillId="0" borderId="51" xfId="0" applyFont="1" applyBorder="1" applyAlignment="1">
      <alignment horizontal="center" vertical="center" wrapText="1"/>
    </xf>
    <xf numFmtId="0" fontId="61" fillId="0" borderId="64" xfId="216" applyFont="1" applyBorder="1" applyAlignment="1">
      <alignment horizontal="left" vertical="center" wrapText="1"/>
    </xf>
    <xf numFmtId="0" fontId="13" fillId="0" borderId="40" xfId="211" applyFont="1" applyBorder="1" applyAlignment="1">
      <alignment horizontal="center" vertical="center"/>
    </xf>
    <xf numFmtId="0" fontId="11" fillId="0" borderId="40" xfId="216" applyFont="1" applyBorder="1" applyAlignment="1">
      <alignment horizontal="center" vertical="center" wrapText="1"/>
    </xf>
    <xf numFmtId="0" fontId="13" fillId="0" borderId="41" xfId="0" applyFont="1" applyBorder="1" applyAlignment="1">
      <alignment horizontal="center" vertical="center" wrapText="1"/>
    </xf>
    <xf numFmtId="14" fontId="2" fillId="2" borderId="0" xfId="211" applyNumberFormat="1" applyFont="1" applyFill="1" applyAlignment="1">
      <alignment horizontal="left" vertical="center"/>
    </xf>
    <xf numFmtId="188" fontId="7" fillId="2" borderId="0" xfId="211" applyNumberFormat="1" applyFont="1" applyFill="1" applyAlignment="1">
      <alignment horizontal="left" vertical="center" shrinkToFit="1"/>
    </xf>
    <xf numFmtId="0" fontId="13" fillId="3" borderId="13" xfId="211" applyFont="1" applyFill="1" applyBorder="1" applyAlignment="1">
      <alignment horizontal="center" vertical="center"/>
    </xf>
    <xf numFmtId="0" fontId="13" fillId="3" borderId="14" xfId="216" applyFont="1" applyFill="1" applyBorder="1" applyAlignment="1">
      <alignment horizontal="center" vertical="center" wrapText="1"/>
    </xf>
    <xf numFmtId="0" fontId="13" fillId="0" borderId="14" xfId="216" applyFont="1" applyBorder="1" applyAlignment="1">
      <alignment horizontal="center" vertical="center" wrapText="1"/>
    </xf>
    <xf numFmtId="0" fontId="13" fillId="0" borderId="0" xfId="211" applyFont="1" applyAlignment="1">
      <alignment vertical="center"/>
    </xf>
    <xf numFmtId="0" fontId="11" fillId="0" borderId="42" xfId="0" applyFont="1" applyBorder="1" applyAlignment="1">
      <alignment horizontal="center" vertical="center" wrapText="1"/>
    </xf>
    <xf numFmtId="0" fontId="11" fillId="0" borderId="79" xfId="0" applyFont="1" applyBorder="1" applyAlignment="1">
      <alignment horizontal="center" vertical="center" wrapText="1"/>
    </xf>
    <xf numFmtId="0" fontId="11" fillId="0" borderId="14"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78" xfId="0" applyFont="1" applyBorder="1" applyAlignment="1">
      <alignment horizontal="center" vertical="center" wrapText="1"/>
    </xf>
    <xf numFmtId="0" fontId="11" fillId="0" borderId="80" xfId="0" applyFont="1" applyBorder="1" applyAlignment="1">
      <alignment horizontal="center" vertical="center" wrapText="1"/>
    </xf>
    <xf numFmtId="0" fontId="13" fillId="0" borderId="6" xfId="211" applyFont="1" applyBorder="1" applyAlignment="1">
      <alignment horizontal="center" vertical="center"/>
    </xf>
    <xf numFmtId="0" fontId="13" fillId="0" borderId="7" xfId="211" applyFont="1" applyBorder="1" applyAlignment="1">
      <alignment horizontal="center" vertical="center"/>
    </xf>
    <xf numFmtId="0" fontId="11" fillId="0" borderId="7"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0" xfId="211" applyFont="1" applyAlignment="1">
      <alignment horizontal="center" vertical="center"/>
    </xf>
    <xf numFmtId="0" fontId="62" fillId="0" borderId="0" xfId="0" applyFont="1" applyAlignment="1">
      <alignment vertical="center" wrapText="1"/>
    </xf>
    <xf numFmtId="0" fontId="11" fillId="0" borderId="0" xfId="0" applyFont="1" applyAlignment="1">
      <alignment horizontal="center" vertical="center" wrapText="1"/>
    </xf>
    <xf numFmtId="0" fontId="31" fillId="0" borderId="0" xfId="0" applyFont="1" applyAlignment="1">
      <alignment horizontal="center" vertical="center" wrapText="1"/>
    </xf>
    <xf numFmtId="0" fontId="13" fillId="0" borderId="0" xfId="0" applyFont="1" applyAlignment="1">
      <alignment horizontal="center" vertical="center" wrapText="1"/>
    </xf>
    <xf numFmtId="0" fontId="63" fillId="0" borderId="0" xfId="0" applyFont="1" applyAlignment="1">
      <alignment vertical="center"/>
    </xf>
    <xf numFmtId="0" fontId="7" fillId="0" borderId="0" xfId="211" applyFont="1" applyAlignment="1">
      <alignment vertical="center"/>
    </xf>
    <xf numFmtId="0" fontId="57" fillId="0" borderId="0" xfId="0" applyFont="1" applyAlignment="1">
      <alignment horizontal="left" vertical="center" wrapText="1"/>
    </xf>
    <xf numFmtId="0" fontId="64" fillId="0" borderId="0" xfId="0" applyFont="1" applyAlignment="1">
      <alignment horizontal="left" vertical="center" wrapText="1"/>
    </xf>
    <xf numFmtId="0" fontId="11" fillId="0" borderId="15" xfId="0" applyFont="1" applyBorder="1" applyAlignment="1">
      <alignment horizontal="center" vertical="center" wrapText="1"/>
    </xf>
    <xf numFmtId="0" fontId="65" fillId="0" borderId="0" xfId="0" applyFont="1" applyAlignment="1">
      <alignment vertical="center"/>
    </xf>
    <xf numFmtId="0" fontId="66" fillId="0" borderId="0" xfId="0" applyFont="1" applyAlignment="1">
      <alignment horizontal="center" vertical="center"/>
    </xf>
    <xf numFmtId="49" fontId="66" fillId="0" borderId="0" xfId="0" applyNumberFormat="1" applyFont="1" applyAlignment="1">
      <alignment vertical="center"/>
    </xf>
    <xf numFmtId="0" fontId="66" fillId="0" borderId="0" xfId="0" applyFont="1" applyAlignment="1">
      <alignment vertical="center"/>
    </xf>
    <xf numFmtId="49" fontId="67" fillId="0" borderId="0" xfId="0" applyNumberFormat="1" applyFont="1" applyAlignment="1">
      <alignment horizontal="center" vertical="center"/>
    </xf>
    <xf numFmtId="0" fontId="68" fillId="16" borderId="20" xfId="0" applyFont="1" applyFill="1" applyBorder="1" applyAlignment="1">
      <alignment horizontal="center" vertical="center"/>
    </xf>
    <xf numFmtId="0" fontId="69" fillId="16" borderId="21" xfId="0" applyFont="1" applyFill="1" applyBorder="1" applyAlignment="1">
      <alignment horizontal="center" vertical="center"/>
    </xf>
    <xf numFmtId="0" fontId="69" fillId="16" borderId="22" xfId="0" applyFont="1" applyFill="1" applyBorder="1" applyAlignment="1">
      <alignment horizontal="center" vertical="center"/>
    </xf>
    <xf numFmtId="0" fontId="9" fillId="0" borderId="0" xfId="0" applyFont="1" applyAlignment="1">
      <alignment vertical="center"/>
    </xf>
    <xf numFmtId="0" fontId="66" fillId="17" borderId="8" xfId="0" applyFont="1" applyFill="1" applyBorder="1" applyAlignment="1">
      <alignment horizontal="center" vertical="center"/>
    </xf>
    <xf numFmtId="0" fontId="66" fillId="17" borderId="9" xfId="0" applyFont="1" applyFill="1" applyBorder="1" applyAlignment="1">
      <alignment horizontal="center" vertical="center"/>
    </xf>
    <xf numFmtId="0" fontId="9" fillId="17" borderId="9" xfId="0" applyFont="1" applyFill="1" applyBorder="1" applyAlignment="1">
      <alignment horizontal="center" vertical="center"/>
    </xf>
    <xf numFmtId="0" fontId="66" fillId="17" borderId="16" xfId="0" applyFont="1" applyFill="1" applyBorder="1" applyAlignment="1">
      <alignment horizontal="center" vertical="center"/>
    </xf>
    <xf numFmtId="49" fontId="9" fillId="0" borderId="81" xfId="0" applyNumberFormat="1" applyFont="1" applyFill="1" applyBorder="1" applyAlignment="1">
      <alignment horizontal="left" vertical="center"/>
    </xf>
    <xf numFmtId="49" fontId="9" fillId="0" borderId="50" xfId="0" applyNumberFormat="1" applyFont="1" applyFill="1" applyBorder="1" applyAlignment="1">
      <alignment horizontal="left" vertical="center"/>
    </xf>
    <xf numFmtId="0" fontId="66" fillId="17" borderId="10" xfId="0" applyFont="1" applyFill="1" applyBorder="1" applyAlignment="1">
      <alignment horizontal="center" vertical="center"/>
    </xf>
    <xf numFmtId="49" fontId="70" fillId="17" borderId="0" xfId="6" applyNumberFormat="1" applyFont="1" applyFill="1" applyBorder="1" applyAlignment="1" applyProtection="1">
      <alignment horizontal="left" vertical="center"/>
    </xf>
    <xf numFmtId="49" fontId="1" fillId="17" borderId="0" xfId="0" applyNumberFormat="1" applyFont="1" applyFill="1" applyAlignment="1">
      <alignment horizontal="center" vertical="center"/>
    </xf>
    <xf numFmtId="0" fontId="71" fillId="17" borderId="17" xfId="0" applyFont="1" applyFill="1" applyBorder="1" applyAlignment="1">
      <alignment horizontal="left" vertical="center"/>
    </xf>
    <xf numFmtId="49" fontId="9" fillId="0" borderId="59" xfId="0" applyNumberFormat="1" applyFont="1" applyFill="1" applyBorder="1" applyAlignment="1">
      <alignment vertical="center"/>
    </xf>
    <xf numFmtId="49" fontId="9" fillId="0" borderId="51" xfId="0" applyNumberFormat="1" applyFont="1" applyFill="1" applyBorder="1" applyAlignment="1">
      <alignment vertical="center"/>
    </xf>
    <xf numFmtId="49" fontId="71" fillId="17" borderId="17" xfId="0" applyNumberFormat="1" applyFont="1" applyFill="1" applyBorder="1" applyAlignment="1">
      <alignment horizontal="left" vertical="center"/>
    </xf>
    <xf numFmtId="49" fontId="9" fillId="0" borderId="4" xfId="0" applyNumberFormat="1" applyFont="1" applyFill="1" applyBorder="1" applyAlignment="1">
      <alignment vertical="center"/>
    </xf>
    <xf numFmtId="49" fontId="9" fillId="0" borderId="5" xfId="0" applyNumberFormat="1" applyFont="1" applyFill="1" applyBorder="1" applyAlignment="1">
      <alignment vertical="center"/>
    </xf>
    <xf numFmtId="49" fontId="9" fillId="0" borderId="6" xfId="0" applyNumberFormat="1" applyFont="1" applyFill="1" applyBorder="1" applyAlignment="1">
      <alignment vertical="center"/>
    </xf>
    <xf numFmtId="49" fontId="9" fillId="0" borderId="7" xfId="0" applyNumberFormat="1" applyFont="1" applyFill="1" applyBorder="1" applyAlignment="1">
      <alignment vertical="center"/>
    </xf>
    <xf numFmtId="0" fontId="66" fillId="17" borderId="11" xfId="0" applyFont="1" applyFill="1" applyBorder="1" applyAlignment="1">
      <alignment horizontal="center" vertical="center"/>
    </xf>
    <xf numFmtId="49" fontId="70" fillId="17" borderId="12" xfId="6" applyNumberFormat="1" applyFont="1" applyFill="1" applyBorder="1" applyAlignment="1" applyProtection="1">
      <alignment horizontal="left" vertical="center"/>
    </xf>
    <xf numFmtId="49" fontId="1" fillId="17" borderId="12" xfId="0" applyNumberFormat="1" applyFont="1" applyFill="1" applyBorder="1" applyAlignment="1">
      <alignment horizontal="center" vertical="center"/>
    </xf>
    <xf numFmtId="0" fontId="71" fillId="17" borderId="18" xfId="0" applyNumberFormat="1" applyFont="1" applyFill="1" applyBorder="1" applyAlignment="1">
      <alignment horizontal="left" vertical="center"/>
    </xf>
    <xf numFmtId="0" fontId="1" fillId="0" borderId="0" xfId="0" applyFont="1" applyAlignment="1">
      <alignment vertical="center"/>
    </xf>
    <xf numFmtId="49" fontId="69" fillId="0" borderId="50" xfId="0" applyNumberFormat="1" applyFont="1" applyFill="1" applyBorder="1" applyAlignment="1">
      <alignment horizontal="left" vertical="center"/>
    </xf>
    <xf numFmtId="49" fontId="65" fillId="0" borderId="50" xfId="0" applyNumberFormat="1" applyFont="1" applyFill="1" applyBorder="1" applyAlignment="1">
      <alignment horizontal="left" vertical="center"/>
    </xf>
    <xf numFmtId="49" fontId="65" fillId="0" borderId="54" xfId="0" applyNumberFormat="1" applyFont="1" applyFill="1" applyBorder="1" applyAlignment="1">
      <alignment horizontal="left" vertical="center"/>
    </xf>
    <xf numFmtId="49" fontId="13" fillId="0" borderId="0" xfId="0" applyNumberFormat="1" applyFont="1" applyFill="1" applyAlignment="1">
      <alignment horizontal="left" vertical="center"/>
    </xf>
    <xf numFmtId="49" fontId="9" fillId="0" borderId="38" xfId="0" applyNumberFormat="1" applyFont="1" applyFill="1" applyBorder="1" applyAlignment="1">
      <alignment vertical="center"/>
    </xf>
    <xf numFmtId="49" fontId="56" fillId="0" borderId="5" xfId="0" applyNumberFormat="1" applyFont="1" applyFill="1" applyBorder="1" applyAlignment="1">
      <alignment horizontal="left" vertical="center"/>
    </xf>
    <xf numFmtId="49" fontId="9" fillId="0" borderId="14" xfId="0" applyNumberFormat="1" applyFont="1" applyFill="1" applyBorder="1" applyAlignment="1">
      <alignment vertical="center"/>
    </xf>
    <xf numFmtId="49" fontId="9" fillId="0" borderId="5" xfId="0" applyNumberFormat="1" applyFont="1" applyFill="1" applyBorder="1" applyAlignment="1">
      <alignment horizontal="left" vertical="center"/>
    </xf>
    <xf numFmtId="49" fontId="9" fillId="0" borderId="14" xfId="0" applyNumberFormat="1" applyFont="1" applyFill="1" applyBorder="1" applyAlignment="1">
      <alignment horizontal="left" vertical="center"/>
    </xf>
    <xf numFmtId="49" fontId="9" fillId="0" borderId="7" xfId="0" applyNumberFormat="1" applyFont="1" applyFill="1" applyBorder="1" applyAlignment="1">
      <alignment horizontal="left" vertical="center"/>
    </xf>
    <xf numFmtId="49" fontId="9" fillId="0" borderId="15" xfId="0" applyNumberFormat="1" applyFont="1" applyFill="1" applyBorder="1" applyAlignment="1">
      <alignment horizontal="left" vertical="center"/>
    </xf>
    <xf numFmtId="0" fontId="14" fillId="0" borderId="5" xfId="0" applyFont="1" applyBorder="1" applyAlignment="1" quotePrefix="1">
      <alignment horizontal="center" vertical="center" wrapText="1"/>
    </xf>
    <xf numFmtId="0" fontId="43" fillId="10" borderId="5" xfId="194" applyFont="1" applyFill="1" applyBorder="1" applyAlignment="1" quotePrefix="1">
      <alignment horizontal="left" vertical="center" wrapText="1" shrinkToFit="1"/>
    </xf>
    <xf numFmtId="0" fontId="14" fillId="0" borderId="5" xfId="108" applyFont="1" applyBorder="1" applyAlignment="1" quotePrefix="1">
      <alignment horizontal="center" vertical="center" shrinkToFit="1"/>
    </xf>
    <xf numFmtId="0" fontId="7" fillId="0" borderId="1" xfId="215" applyFont="1" applyBorder="1" applyAlignment="1" applyProtection="1" quotePrefix="1">
      <alignment horizontal="center" vertical="center" wrapText="1"/>
      <protection locked="0"/>
    </xf>
    <xf numFmtId="0" fontId="7" fillId="0" borderId="2" xfId="215" applyFont="1" applyBorder="1" applyAlignment="1" applyProtection="1" quotePrefix="1">
      <alignment horizontal="center" vertical="center" wrapText="1"/>
      <protection locked="0"/>
    </xf>
  </cellXfs>
  <cellStyles count="2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x000a_mouse.drv=lm" xfId="49"/>
    <cellStyle name="_ET_STYLE_NoName_00_" xfId="50"/>
    <cellStyle name="Calc Currency (0)" xfId="51"/>
    <cellStyle name="ColLevel_0" xfId="52"/>
    <cellStyle name="Comma [0]_1995" xfId="53"/>
    <cellStyle name="Comma_1995" xfId="54"/>
    <cellStyle name="Currency [0]_1995" xfId="55"/>
    <cellStyle name="Currency_1995" xfId="56"/>
    <cellStyle name="Header1" xfId="57"/>
    <cellStyle name="Header2" xfId="58"/>
    <cellStyle name="no dec" xfId="59"/>
    <cellStyle name="Normal_#10-Headcount" xfId="60"/>
    <cellStyle name="RowLevel_0" xfId="61"/>
    <cellStyle name="百分比 2" xfId="62"/>
    <cellStyle name="差_Book1" xfId="63"/>
    <cellStyle name="差_Book1 2" xfId="64"/>
    <cellStyle name="差_文法2011-2012学年续放款名单(2009年签订贷款合同的" xfId="65"/>
    <cellStyle name="差_文法2011-2012学年续放款名单(2009年签订贷款合同的 2" xfId="66"/>
    <cellStyle name="常规 10" xfId="67"/>
    <cellStyle name="常规 10 2" xfId="68"/>
    <cellStyle name="常规 10 2 2" xfId="69"/>
    <cellStyle name="常规 10 3" xfId="70"/>
    <cellStyle name="常规 100" xfId="71"/>
    <cellStyle name="常规 101" xfId="72"/>
    <cellStyle name="常规 102" xfId="73"/>
    <cellStyle name="常规 105" xfId="74"/>
    <cellStyle name="常规 106" xfId="75"/>
    <cellStyle name="常规 109" xfId="76"/>
    <cellStyle name="常规 11" xfId="77"/>
    <cellStyle name="常规 110" xfId="78"/>
    <cellStyle name="常规 111" xfId="79"/>
    <cellStyle name="常规 112" xfId="80"/>
    <cellStyle name="常规 114" xfId="81"/>
    <cellStyle name="常规 115" xfId="82"/>
    <cellStyle name="常规 116" xfId="83"/>
    <cellStyle name="常规 117" xfId="84"/>
    <cellStyle name="常规 118" xfId="85"/>
    <cellStyle name="常规 119" xfId="86"/>
    <cellStyle name="常规 12" xfId="87"/>
    <cellStyle name="常规 120" xfId="88"/>
    <cellStyle name="常规 121" xfId="89"/>
    <cellStyle name="常规 122" xfId="90"/>
    <cellStyle name="常规 123" xfId="91"/>
    <cellStyle name="常规 129" xfId="92"/>
    <cellStyle name="常规 13" xfId="93"/>
    <cellStyle name="常规 130" xfId="94"/>
    <cellStyle name="常规 131" xfId="95"/>
    <cellStyle name="常规 132" xfId="96"/>
    <cellStyle name="常规 133" xfId="97"/>
    <cellStyle name="常规 134" xfId="98"/>
    <cellStyle name="常规 135" xfId="99"/>
    <cellStyle name="常规 14" xfId="100"/>
    <cellStyle name="常规 15" xfId="101"/>
    <cellStyle name="常规 16" xfId="102"/>
    <cellStyle name="常规 17" xfId="103"/>
    <cellStyle name="常规 18" xfId="104"/>
    <cellStyle name="常规 19" xfId="105"/>
    <cellStyle name="常规 2" xfId="106"/>
    <cellStyle name="常规 2 12" xfId="107"/>
    <cellStyle name="常规 2 2" xfId="108"/>
    <cellStyle name="常规 2 2 2" xfId="109"/>
    <cellStyle name="常规 2 2 2 2" xfId="110"/>
    <cellStyle name="常规 2 2 9" xfId="111"/>
    <cellStyle name="常规 2 2_Sheet1" xfId="112"/>
    <cellStyle name="常规 2 3" xfId="113"/>
    <cellStyle name="常规 2_08威华股份预填" xfId="114"/>
    <cellStyle name="常规 2_08威华股份预填 2" xfId="115"/>
    <cellStyle name="常规 20" xfId="116"/>
    <cellStyle name="常规 21" xfId="117"/>
    <cellStyle name="常规 22" xfId="118"/>
    <cellStyle name="常规 23" xfId="119"/>
    <cellStyle name="常规 24" xfId="120"/>
    <cellStyle name="常规 25" xfId="121"/>
    <cellStyle name="常规 26" xfId="122"/>
    <cellStyle name="常规 27" xfId="123"/>
    <cellStyle name="常规 28" xfId="124"/>
    <cellStyle name="常规 29" xfId="125"/>
    <cellStyle name="常规 3" xfId="126"/>
    <cellStyle name="常规 30" xfId="127"/>
    <cellStyle name="常规 31" xfId="128"/>
    <cellStyle name="常规 32" xfId="129"/>
    <cellStyle name="常规 33" xfId="130"/>
    <cellStyle name="常规 34" xfId="131"/>
    <cellStyle name="常规 35" xfId="132"/>
    <cellStyle name="常规 36" xfId="133"/>
    <cellStyle name="常规 37" xfId="134"/>
    <cellStyle name="常规 38" xfId="135"/>
    <cellStyle name="常规 39" xfId="136"/>
    <cellStyle name="常规 4" xfId="137"/>
    <cellStyle name="常规 40" xfId="138"/>
    <cellStyle name="常规 41" xfId="139"/>
    <cellStyle name="常规 42" xfId="140"/>
    <cellStyle name="常规 43" xfId="141"/>
    <cellStyle name="常规 44" xfId="142"/>
    <cellStyle name="常规 45" xfId="143"/>
    <cellStyle name="常规 46" xfId="144"/>
    <cellStyle name="常规 47" xfId="145"/>
    <cellStyle name="常规 48" xfId="146"/>
    <cellStyle name="常规 49" xfId="147"/>
    <cellStyle name="常规 5" xfId="148"/>
    <cellStyle name="常规 50" xfId="149"/>
    <cellStyle name="常规 51" xfId="150"/>
    <cellStyle name="常规 52" xfId="151"/>
    <cellStyle name="常规 53" xfId="152"/>
    <cellStyle name="常规 54" xfId="153"/>
    <cellStyle name="常规 55" xfId="154"/>
    <cellStyle name="常规 56" xfId="155"/>
    <cellStyle name="常规 57" xfId="156"/>
    <cellStyle name="常规 58" xfId="157"/>
    <cellStyle name="常规 59" xfId="158"/>
    <cellStyle name="常规 6" xfId="159"/>
    <cellStyle name="常规 60" xfId="160"/>
    <cellStyle name="常规 61" xfId="161"/>
    <cellStyle name="常规 62" xfId="162"/>
    <cellStyle name="常规 63" xfId="163"/>
    <cellStyle name="常规 64" xfId="164"/>
    <cellStyle name="常规 65" xfId="165"/>
    <cellStyle name="常规 66" xfId="166"/>
    <cellStyle name="常规 67" xfId="167"/>
    <cellStyle name="常规 68" xfId="168"/>
    <cellStyle name="常规 69" xfId="169"/>
    <cellStyle name="常规 7" xfId="170"/>
    <cellStyle name="常规 70" xfId="171"/>
    <cellStyle name="常规 71" xfId="172"/>
    <cellStyle name="常规 72" xfId="173"/>
    <cellStyle name="常规 73" xfId="174"/>
    <cellStyle name="常规 74" xfId="175"/>
    <cellStyle name="常规 75" xfId="176"/>
    <cellStyle name="常规 76" xfId="177"/>
    <cellStyle name="常规 77" xfId="178"/>
    <cellStyle name="常规 78" xfId="179"/>
    <cellStyle name="常规 79" xfId="180"/>
    <cellStyle name="常规 8" xfId="181"/>
    <cellStyle name="常规 80" xfId="182"/>
    <cellStyle name="常规 81" xfId="183"/>
    <cellStyle name="常规 82" xfId="184"/>
    <cellStyle name="常规 83" xfId="185"/>
    <cellStyle name="常规 84" xfId="186"/>
    <cellStyle name="常规 85" xfId="187"/>
    <cellStyle name="常规 86" xfId="188"/>
    <cellStyle name="常规 87" xfId="189"/>
    <cellStyle name="常规 88" xfId="190"/>
    <cellStyle name="常规 89" xfId="191"/>
    <cellStyle name="常规 9" xfId="192"/>
    <cellStyle name="常规 90" xfId="193"/>
    <cellStyle name="常规 90 2" xfId="194"/>
    <cellStyle name="常规 91" xfId="195"/>
    <cellStyle name="常规 92" xfId="196"/>
    <cellStyle name="常规 93" xfId="197"/>
    <cellStyle name="常规 94" xfId="198"/>
    <cellStyle name="常规 95" xfId="199"/>
    <cellStyle name="常规 96" xfId="200"/>
    <cellStyle name="常规 97" xfId="201"/>
    <cellStyle name="常规 98" xfId="202"/>
    <cellStyle name="常规 99" xfId="203"/>
    <cellStyle name="常规_6310销售费用" xfId="204"/>
    <cellStyle name="常规_SE 管理费用" xfId="205"/>
    <cellStyle name="常规_Sheet1 2" xfId="206"/>
    <cellStyle name="常规_虹桥底稿－陈 2" xfId="207"/>
    <cellStyle name="常规_虹桥底稿－陈_个人底稿 2" xfId="208"/>
    <cellStyle name="常规_货币资金C" xfId="209"/>
    <cellStyle name="常规_货币资金C 2" xfId="210"/>
    <cellStyle name="常规_控制测试底稿" xfId="211"/>
    <cellStyle name="常规_控制测试底稿 2" xfId="212"/>
    <cellStyle name="常规_审计底稿-负债类" xfId="213"/>
    <cellStyle name="常规_审计工作底稿参考格式（试用）2002.2_会计预填2 2" xfId="214"/>
    <cellStyle name="常规_索正中珠江底稿模板1--调整索引01(邓） 2" xfId="215"/>
    <cellStyle name="常规_细节测试样本" xfId="216"/>
    <cellStyle name="常规_细节测试样本 2" xfId="217"/>
    <cellStyle name="常规_项目实施的分析程序（F122-BF25）" xfId="218"/>
    <cellStyle name="超链接 2" xfId="219"/>
    <cellStyle name="好_Book1" xfId="220"/>
    <cellStyle name="好_Book1 2" xfId="221"/>
    <cellStyle name="好_文法2011-2012学年续放款名单(2009年签订贷款合同的" xfId="222"/>
    <cellStyle name="好_文法2011-2012学年续放款名单(2009年签订贷款合同的 2" xfId="223"/>
    <cellStyle name="货币 18" xfId="224"/>
    <cellStyle name="货币 18 2" xfId="225"/>
    <cellStyle name="货币 29" xfId="226"/>
    <cellStyle name="货币 29 2" xfId="227"/>
    <cellStyle name="货币 7" xfId="228"/>
    <cellStyle name="货币 7 2" xfId="229"/>
    <cellStyle name="霓付 [0]_97MBO" xfId="230"/>
    <cellStyle name="霓付_97MBO" xfId="231"/>
    <cellStyle name="烹拳 [0]_97MBO" xfId="232"/>
    <cellStyle name="烹拳_97MBO" xfId="233"/>
    <cellStyle name="普通_ 白土" xfId="234"/>
    <cellStyle name="千分位[0]_ 白土" xfId="235"/>
    <cellStyle name="千分位_ 白土" xfId="236"/>
    <cellStyle name="千位[0]_97试算平衡" xfId="237"/>
    <cellStyle name="千位_97试算平衡" xfId="238"/>
    <cellStyle name="千位分隔 15" xfId="239"/>
    <cellStyle name="千位分隔 2" xfId="240"/>
    <cellStyle name="千位分隔 2 2" xfId="241"/>
    <cellStyle name="千位分隔 2 2 2" xfId="242"/>
    <cellStyle name="千位分隔 2 2 2 2" xfId="243"/>
    <cellStyle name="千位分隔 2 2 3 3 2" xfId="244"/>
    <cellStyle name="千位分隔 3" xfId="245"/>
    <cellStyle name="千位分隔 3 2" xfId="246"/>
    <cellStyle name="千位分隔 3 3" xfId="247"/>
    <cellStyle name="千位分隔 5" xfId="248"/>
    <cellStyle name="千位分隔 6" xfId="249"/>
    <cellStyle name="钎霖_laroux" xfId="250"/>
    <cellStyle name="样式 1" xfId="251"/>
    <cellStyle name="콤마 [0]_BOILER-CO1" xfId="252"/>
    <cellStyle name="콤마_BOILER-CO1" xfId="253"/>
    <cellStyle name="통화 [0]_BOILER-CO1" xfId="254"/>
    <cellStyle name="통화_BOILER-CO1" xfId="255"/>
    <cellStyle name="표준_0N-HANDLING " xfId="256"/>
  </cellStyles>
  <dxfs count="2">
    <dxf>
      <font>
        <b val="1"/>
        <i val="0"/>
        <color rgb="FFFF0000"/>
      </font>
    </dxf>
    <dxf>
      <font>
        <color rgb="FFFF0000"/>
      </font>
    </dxf>
  </dxfs>
  <tableStyles count="0" defaultTableStyle="TableStyleMedium9" defaultPivotStyle="PivotStyleLight16"/>
  <colors>
    <mruColors>
      <color rgb="00C0C0C0"/>
      <color rgb="00B8CCE4"/>
      <color rgb="00F6F5C5"/>
      <color rgb="00D9D9D9"/>
      <color rgb="00FFFFFF"/>
      <color rgb="000000FF"/>
      <color rgb="00BFBFBF"/>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tyles" Target="styles.xml"/><Relationship Id="rId27" Type="http://schemas.openxmlformats.org/officeDocument/2006/relationships/sharedStrings" Target="sharedStrings.xml"/><Relationship Id="rId26" Type="http://schemas.openxmlformats.org/officeDocument/2006/relationships/theme" Target="theme/theme1.xml"/><Relationship Id="rId25" Type="http://schemas.openxmlformats.org/officeDocument/2006/relationships/externalLink" Target="externalLinks/externalLink4.xml"/><Relationship Id="rId24" Type="http://schemas.openxmlformats.org/officeDocument/2006/relationships/externalLink" Target="externalLinks/externalLink3.xml"/><Relationship Id="rId23" Type="http://schemas.openxmlformats.org/officeDocument/2006/relationships/externalLink" Target="externalLinks/externalLink2.xml"/><Relationship Id="rId22" Type="http://schemas.openxmlformats.org/officeDocument/2006/relationships/externalLink" Target="externalLinks/externalLink1.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6234;&#39046;&#23457;&#35745;&#39033;&#30446;\20251001&#24213;&#31295;\&#38050;&#21147;&#24213;&#31295;-&#21021;&#27493;&#23436;&#25104;\1010&#36135;&#24065;&#36164;&#37329;\&#24213;&#31295;&#23884;&#20837;&#30340;TB&#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360&#20113;&#30424;\&#21407;F&#30424;&#36164;&#26009;\&#19987;&#39033;&#23457;&#35745;&#25253;&#21578;\&#20013;&#23665;&#20845;&#38498;\&#20013;&#23665;&#20845;&#38498;2014&#24180;&#24230;&#23457;&#35745;\&#23454;&#36136;&#24615;&#24213;&#31295;-2014\&#38472;&#38901;&#26726;\&#20854;&#20182;&#24212;&#25910;&#2745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60&#20113;&#30424;\&#21407;F&#30424;&#36164;&#26009;\&#19987;&#39033;&#23457;&#35745;&#25253;&#21578;\&#20013;&#23665;&#20845;&#38498;\&#20013;&#23665;&#20845;&#38498;2014&#24180;&#24230;&#23457;&#35745;\&#23454;&#36136;&#24615;&#24213;&#31295;-2014\&#38472;&#38901;&#26726;\&#20854;&#20182;&#24212;&#25910;&#2745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360&#20113;&#30424;\&#21407;F&#30424;&#36164;&#26009;\2015&#24180;&#36136;&#25511;&#30456;&#20851;&#36164;&#26009;\&#20013;&#32844;&#20449;&#26631;&#20934;&#21270;&#24314;&#35774;\&#39033;&#30446;&#32452;&#25104;&#21592;&#25552;&#20132;&#30340;&#24213;&#31295;&#35774;&#35745;&#31295;\&#38472;&#38901;&#26726;\FD&#24212;&#20184;&#36134;&#27454;&#65288;&#27169;&#29256;&#65289;.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B"/>
      <sheetName val="ZZX-Template"/>
      <sheetName val="log"/>
    </sheetNames>
    <sheetDataSet>
      <sheetData sheetId="0"/>
      <sheetData sheetId="1"/>
      <sheetData sheetId="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其他应收款实质性程序"/>
      <sheetName val="计划实施的实质性程序其他应收款"/>
      <sheetName val="其他应收款审定表"/>
      <sheetName val="其他应收款明细表"/>
      <sheetName val="_formula_"/>
      <sheetName val="帐龄辅助表"/>
      <sheetName val="其他应收款函证结果汇总表"/>
      <sheetName val="其他应收款函证结果调节表"/>
      <sheetName val="其他应收款替代测试表-韦景法"/>
      <sheetName val="其他应收款替代测试表-中山大学附属胃肠肛门医院"/>
      <sheetName val="其他应收款替代测试表 (2)"/>
      <sheetName val="其他应收款坏账准备计算表"/>
      <sheetName val="其他应收款检查情况表"/>
      <sheetName val="坏账准备审核表"/>
      <sheetName val="调整分录汇总"/>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其他应收款实质性程序"/>
      <sheetName val="计划实施的实质性程序其他应收款"/>
      <sheetName val="其他应收款审定表"/>
      <sheetName val="其他应收款明细表"/>
      <sheetName val="_formula_"/>
      <sheetName val="帐龄辅助表"/>
      <sheetName val="其他应收款函证结果汇总表"/>
      <sheetName val="其他应收款函证结果调节表"/>
      <sheetName val="其他应收款替代测试表-韦景法"/>
      <sheetName val="其他应收款替代测试表-中山大学附属胃肠肛门医院"/>
      <sheetName val="其他应收款替代测试表 (2)"/>
      <sheetName val="其他应收款坏账准备计算表"/>
      <sheetName val="其他应收款检查情况表"/>
      <sheetName val="坏账准备审核表"/>
      <sheetName val="调整分录汇总"/>
      <sheetName val="TB"/>
      <sheetName val="关联交易-存款"/>
      <sheetName val="应付账款审定表"/>
      <sheetName val="ZZX-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_formula_"/>
      <sheetName val="基本信息及目录"/>
      <sheetName val="应付账款实质性程序"/>
      <sheetName val="计划实施的实质性程序"/>
      <sheetName val="应付账款审定表"/>
      <sheetName val="附注披露表-建筑集团、广州日报"/>
      <sheetName val="附注披露表-珠实集团"/>
      <sheetName val="附注披露表-广晟"/>
      <sheetName val="附注披露表-轻工集团"/>
      <sheetName val="附注披露表-一般企业"/>
      <sheetName val="应付账款明细表"/>
      <sheetName val="应付账款核对表"/>
      <sheetName val="未入账应付账款汇总表"/>
      <sheetName val="应付账款日后付款测试表"/>
      <sheetName val="未处理的供应商发票测试表"/>
      <sheetName val="拨发函单位联系方式一览表"/>
      <sheetName val="应付账款函证结果汇总表"/>
      <sheetName val="应付账款函证差异调节表检查"/>
      <sheetName val="应付账款替代测试表"/>
      <sheetName val="应付账款检查情况表"/>
      <sheetName val="其他应收款明细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1:N32"/>
  <sheetViews>
    <sheetView showGridLines="0" showZeros="0" topLeftCell="A5" workbookViewId="0">
      <selection activeCell="C13" sqref="C13"/>
    </sheetView>
  </sheetViews>
  <sheetFormatPr defaultColWidth="9" defaultRowHeight="15"/>
  <cols>
    <col min="1" max="1" width="3" style="57" customWidth="1"/>
    <col min="2" max="2" width="8.4" style="942" customWidth="1"/>
    <col min="3" max="3" width="38.4" style="943" customWidth="1"/>
    <col min="4" max="4" width="12.1" style="944" customWidth="1"/>
    <col min="5" max="5" width="9.4" style="945" customWidth="1"/>
    <col min="6" max="6" width="6" style="57" customWidth="1"/>
    <col min="7" max="7" width="11.4" style="57" customWidth="1"/>
    <col min="8" max="8" width="26.8083333333333" style="57" customWidth="1"/>
    <col min="9" max="9" width="13.4" style="57" customWidth="1"/>
    <col min="10" max="10" width="11.7" style="57" customWidth="1"/>
    <col min="11" max="11" width="10.1" style="57" customWidth="1"/>
    <col min="12" max="12" width="11.6" style="57" customWidth="1"/>
    <col min="13" max="16384" width="9" style="57"/>
  </cols>
  <sheetData>
    <row r="1" ht="15.75"/>
    <row r="2" ht="21.9" customHeight="1" spans="2:12">
      <c r="B2" s="946" t="s">
        <v>0</v>
      </c>
      <c r="C2" s="947"/>
      <c r="D2" s="947"/>
      <c r="E2" s="948"/>
      <c r="G2" s="949"/>
      <c r="H2" s="949"/>
      <c r="I2" s="949"/>
      <c r="J2" s="949"/>
      <c r="K2" s="949"/>
      <c r="L2" s="949"/>
    </row>
    <row r="3" s="941" customFormat="1" ht="24" customHeight="1" spans="2:14">
      <c r="B3" s="950" t="s">
        <v>1</v>
      </c>
      <c r="C3" s="951" t="s">
        <v>2</v>
      </c>
      <c r="D3" s="952" t="s">
        <v>3</v>
      </c>
      <c r="E3" s="953" t="s">
        <v>4</v>
      </c>
      <c r="G3" s="954" t="s">
        <v>5</v>
      </c>
      <c r="H3" s="955"/>
      <c r="I3" s="972"/>
      <c r="J3" s="973"/>
      <c r="K3" s="973"/>
      <c r="L3" s="974"/>
      <c r="M3" s="57"/>
      <c r="N3" s="57"/>
    </row>
    <row r="4" ht="24" customHeight="1" spans="2:12">
      <c r="B4" s="956">
        <v>1010</v>
      </c>
      <c r="C4" s="957" t="s">
        <v>6</v>
      </c>
      <c r="D4" s="958" t="s">
        <v>7</v>
      </c>
      <c r="E4" s="959">
        <v>1010</v>
      </c>
      <c r="G4" s="960" t="s">
        <v>8</v>
      </c>
      <c r="H4" s="961" t="s">
        <v>9</v>
      </c>
      <c r="I4" s="975" t="s">
        <v>10</v>
      </c>
      <c r="J4" s="976" t="s">
        <v>11</v>
      </c>
      <c r="K4" s="977" t="s">
        <v>12</v>
      </c>
      <c r="L4" s="978" t="s">
        <v>13</v>
      </c>
    </row>
    <row r="5" ht="24" customHeight="1" spans="2:12">
      <c r="B5" s="956" t="s">
        <v>14</v>
      </c>
      <c r="C5" s="957" t="s">
        <v>15</v>
      </c>
      <c r="D5" s="958" t="s">
        <v>7</v>
      </c>
      <c r="E5" s="962" t="s">
        <v>14</v>
      </c>
      <c r="G5" s="963" t="s">
        <v>16</v>
      </c>
      <c r="H5" s="964" t="s">
        <v>17</v>
      </c>
      <c r="I5" s="979" t="s">
        <v>18</v>
      </c>
      <c r="J5" s="964" t="s">
        <v>19</v>
      </c>
      <c r="K5" s="979" t="s">
        <v>20</v>
      </c>
      <c r="L5" s="980" t="s">
        <v>21</v>
      </c>
    </row>
    <row r="6" ht="24" customHeight="1" spans="2:12">
      <c r="B6" s="956" t="s">
        <v>22</v>
      </c>
      <c r="C6" s="957" t="s">
        <v>23</v>
      </c>
      <c r="D6" s="958" t="s">
        <v>7</v>
      </c>
      <c r="E6" s="962" t="s">
        <v>22</v>
      </c>
      <c r="F6" s="949"/>
      <c r="G6" s="965" t="s">
        <v>24</v>
      </c>
      <c r="H6" s="966" t="s">
        <v>25</v>
      </c>
      <c r="I6" s="981" t="s">
        <v>26</v>
      </c>
      <c r="J6" s="966" t="s">
        <v>27</v>
      </c>
      <c r="K6" s="981" t="s">
        <v>20</v>
      </c>
      <c r="L6" s="982" t="s">
        <v>28</v>
      </c>
    </row>
    <row r="7" ht="24" customHeight="1" spans="2:5">
      <c r="B7" s="956" t="s">
        <v>29</v>
      </c>
      <c r="C7" s="957" t="s">
        <v>30</v>
      </c>
      <c r="D7" s="958" t="s">
        <v>7</v>
      </c>
      <c r="E7" s="962" t="s">
        <v>29</v>
      </c>
    </row>
    <row r="8" ht="24" customHeight="1" spans="2:5">
      <c r="B8" s="956" t="s">
        <v>31</v>
      </c>
      <c r="C8" s="957" t="s">
        <v>32</v>
      </c>
      <c r="D8" s="958" t="s">
        <v>7</v>
      </c>
      <c r="E8" s="962" t="s">
        <v>31</v>
      </c>
    </row>
    <row r="9" ht="24" customHeight="1" spans="2:5">
      <c r="B9" s="956" t="s">
        <v>33</v>
      </c>
      <c r="C9" s="957" t="s">
        <v>34</v>
      </c>
      <c r="D9" s="958" t="s">
        <v>7</v>
      </c>
      <c r="E9" s="962" t="s">
        <v>33</v>
      </c>
    </row>
    <row r="10" ht="24" customHeight="1" spans="2:5">
      <c r="B10" s="956" t="s">
        <v>35</v>
      </c>
      <c r="C10" s="957" t="s">
        <v>36</v>
      </c>
      <c r="D10" s="958" t="s">
        <v>7</v>
      </c>
      <c r="E10" s="962" t="s">
        <v>35</v>
      </c>
    </row>
    <row r="11" ht="24" customHeight="1" spans="2:7">
      <c r="B11" s="956" t="s">
        <v>37</v>
      </c>
      <c r="C11" s="957" t="s">
        <v>38</v>
      </c>
      <c r="D11" s="958" t="s">
        <v>7</v>
      </c>
      <c r="E11" s="962" t="s">
        <v>37</v>
      </c>
      <c r="G11" s="949"/>
    </row>
    <row r="12" ht="24" customHeight="1" spans="2:7">
      <c r="B12" s="956" t="s">
        <v>39</v>
      </c>
      <c r="C12" s="957" t="s">
        <v>40</v>
      </c>
      <c r="D12" s="958" t="s">
        <v>7</v>
      </c>
      <c r="E12" s="962" t="s">
        <v>39</v>
      </c>
      <c r="G12" s="949"/>
    </row>
    <row r="13" ht="24" customHeight="1" spans="2:7">
      <c r="B13" s="956" t="s">
        <v>41</v>
      </c>
      <c r="C13" s="957" t="s">
        <v>42</v>
      </c>
      <c r="D13" s="958" t="s">
        <v>7</v>
      </c>
      <c r="E13" s="962" t="s">
        <v>41</v>
      </c>
      <c r="G13" s="949"/>
    </row>
    <row r="14" ht="24" customHeight="1" spans="2:7">
      <c r="B14" s="956" t="s">
        <v>43</v>
      </c>
      <c r="C14" s="957" t="s">
        <v>44</v>
      </c>
      <c r="D14" s="958" t="s">
        <v>7</v>
      </c>
      <c r="E14" s="962" t="s">
        <v>43</v>
      </c>
      <c r="G14" s="949"/>
    </row>
    <row r="15" ht="24" customHeight="1" spans="2:7">
      <c r="B15" s="956" t="s">
        <v>45</v>
      </c>
      <c r="C15" s="957" t="s">
        <v>46</v>
      </c>
      <c r="D15" s="958" t="s">
        <v>7</v>
      </c>
      <c r="E15" s="962" t="s">
        <v>45</v>
      </c>
      <c r="G15" s="949"/>
    </row>
    <row r="16" ht="24" customHeight="1" spans="2:7">
      <c r="B16" s="956" t="s">
        <v>47</v>
      </c>
      <c r="C16" s="957" t="s">
        <v>48</v>
      </c>
      <c r="D16" s="958" t="s">
        <v>7</v>
      </c>
      <c r="E16" s="962" t="s">
        <v>47</v>
      </c>
      <c r="G16" s="949"/>
    </row>
    <row r="17" ht="24" customHeight="1" spans="2:7">
      <c r="B17" s="956" t="s">
        <v>49</v>
      </c>
      <c r="C17" s="957" t="s">
        <v>50</v>
      </c>
      <c r="D17" s="958" t="s">
        <v>7</v>
      </c>
      <c r="E17" s="962" t="s">
        <v>49</v>
      </c>
      <c r="G17" s="949"/>
    </row>
    <row r="18" ht="24" customHeight="1" spans="2:7">
      <c r="B18" s="956" t="s">
        <v>51</v>
      </c>
      <c r="C18" s="957" t="s">
        <v>52</v>
      </c>
      <c r="D18" s="958" t="s">
        <v>7</v>
      </c>
      <c r="E18" s="962" t="s">
        <v>51</v>
      </c>
      <c r="G18" s="949"/>
    </row>
    <row r="19" ht="24" customHeight="1" spans="2:7">
      <c r="B19" s="956" t="s">
        <v>53</v>
      </c>
      <c r="C19" s="957" t="s">
        <v>54</v>
      </c>
      <c r="D19" s="958" t="s">
        <v>7</v>
      </c>
      <c r="E19" s="962" t="s">
        <v>53</v>
      </c>
      <c r="G19" s="949"/>
    </row>
    <row r="20" ht="24" customHeight="1" spans="2:7">
      <c r="B20" s="956" t="s">
        <v>55</v>
      </c>
      <c r="C20" s="957" t="s">
        <v>56</v>
      </c>
      <c r="D20" s="958" t="s">
        <v>7</v>
      </c>
      <c r="E20" s="962" t="s">
        <v>55</v>
      </c>
      <c r="G20" s="949"/>
    </row>
    <row r="21" ht="24" customHeight="1" spans="2:7">
      <c r="B21" s="967">
        <v>1011</v>
      </c>
      <c r="C21" s="968" t="s">
        <v>57</v>
      </c>
      <c r="D21" s="969" t="s">
        <v>7</v>
      </c>
      <c r="E21" s="970">
        <v>1011</v>
      </c>
      <c r="G21" s="949"/>
    </row>
    <row r="22" spans="7:7">
      <c r="G22" s="949"/>
    </row>
    <row r="23" spans="7:7">
      <c r="G23" s="949"/>
    </row>
    <row r="24" spans="7:7">
      <c r="G24" s="949"/>
    </row>
    <row r="25" spans="7:7">
      <c r="G25" s="57" t="str">
        <f>C22&amp;D22</f>
        <v/>
      </c>
    </row>
    <row r="32" spans="3:3">
      <c r="C32" s="971"/>
    </row>
  </sheetData>
  <sheetProtection formatCells="0" formatColumns="0" formatRows="0" insertRows="0" insertColumns="0" insertHyperlinks="0" deleteColumns="0" sort="0" autoFilter="0" pivotTables="0"/>
  <mergeCells count="1">
    <mergeCell ref="B2:E2"/>
  </mergeCells>
  <dataValidations count="2">
    <dataValidation type="list" allowBlank="1" showInputMessage="1" showErrorMessage="1" sqref="D4:D21">
      <formula1>"是,否"</formula1>
    </dataValidation>
    <dataValidation allowBlank="1" showInputMessage="1" showErrorMessage="1" sqref="F7:F12"/>
  </dataValidations>
  <hyperlinks>
    <hyperlink ref="C4" location="'1010'!B1" display="货币资金实质性程序"/>
    <hyperlink ref="C5" location="'1010-1'!B1" display="货币资金科目审计调整分录"/>
    <hyperlink ref="C6" location="'1010-2'!B1" display="货币资金审定表"/>
    <hyperlink ref="C7" location="'1010-3-1'!B1" display="库存现金明细表"/>
    <hyperlink ref="C8" location="'1010-3-2'!B1" display="银行存款明细表"/>
    <hyperlink ref="C9" location="'1010-3-3'!B1" display="其他货币资金明细表"/>
    <hyperlink ref="C10" location="'1010-4'!B1" display="保险柜检查记录表"/>
    <hyperlink ref="C11" location="'1010-5'!B1" display="已开立银行账户清单与账面银行账户双向核对"/>
    <hyperlink ref="C12" location="'1010-6'!B1" display="银行账户网银核查情况表"/>
    <hyperlink ref="C13" location="'1010-7'!B1" display="货币资金截止性测试表"/>
    <hyperlink ref="C14" location="'1010-8'!B1" display="银行余额调节以及未达账项汇总表"/>
    <hyperlink ref="C15" location="'1010-9'!B1" display="银行存单检查表"/>
    <hyperlink ref="C16" location="'1010-10'!B1" display="货币资金受限情况明细表"/>
    <hyperlink ref="C17" location="'1010-11'!B1" display="货币资金外币折算表"/>
    <hyperlink ref="C18" location="'1010-12'!B1" display="银行存款账面收付记录与银行对账单抽样核对表"/>
    <hyperlink ref="C19" location="'1010-13'!B1" display="货币资金凭证抽查表"/>
    <hyperlink ref="C21" location="'1011'!A1" display="货币资金函证程序"/>
    <hyperlink ref="C20" location="'1010-14'!A1" display="大额现金交易合理性检查程序表"/>
  </hyperlinks>
  <printOptions horizontalCentered="1"/>
  <pageMargins left="0.748031496062992" right="0.748031496062992" top="0.984251968503937" bottom="0.984251968503937" header="0.511811023622047" footer="0.511811023622047"/>
  <pageSetup paperSize="9" scale="80" orientation="landscape" blackAndWhite="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S106"/>
  <sheetViews>
    <sheetView showGridLines="0" showZeros="0" zoomScale="85" zoomScaleNormal="85" workbookViewId="0">
      <pane ySplit="5" topLeftCell="A14" activePane="bottomLeft" state="frozen"/>
      <selection/>
      <selection pane="bottomLeft" activeCell="C16" sqref="C16"/>
    </sheetView>
  </sheetViews>
  <sheetFormatPr defaultColWidth="9" defaultRowHeight="13"/>
  <cols>
    <col min="1" max="1" width="2.6" style="853" customWidth="1"/>
    <col min="2" max="3" width="8.1" style="853" customWidth="1"/>
    <col min="4" max="4" width="61.9" style="853" customWidth="1"/>
    <col min="5" max="5" width="8.9" style="853" customWidth="1"/>
    <col min="6" max="6" width="9.2" style="853" customWidth="1"/>
    <col min="7" max="11" width="6.5" style="853" customWidth="1"/>
    <col min="12" max="16384" width="9" style="853"/>
  </cols>
  <sheetData>
    <row r="1" s="140" customFormat="1" ht="28.5" customHeight="1" spans="1:16">
      <c r="A1" s="65" t="s">
        <v>58</v>
      </c>
      <c r="B1" s="359" t="s">
        <v>6</v>
      </c>
      <c r="C1" s="360"/>
      <c r="D1" s="360"/>
      <c r="E1" s="360"/>
      <c r="F1" s="360"/>
      <c r="G1" s="360"/>
      <c r="H1" s="360"/>
      <c r="I1" s="360"/>
      <c r="J1" s="153" t="s">
        <v>59</v>
      </c>
      <c r="K1" s="126">
        <f>目录!E4</f>
        <v>1010</v>
      </c>
      <c r="P1" s="471"/>
    </row>
    <row r="2" s="471" customFormat="1" ht="26.1" customHeight="1" spans="2:11">
      <c r="B2" s="854"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855"/>
      <c r="D2" s="93"/>
      <c r="F2" s="93"/>
      <c r="H2" s="856"/>
      <c r="I2" s="153"/>
      <c r="J2" s="915"/>
      <c r="K2" s="916"/>
    </row>
    <row r="3" s="471" customFormat="1" ht="12" customHeight="1" spans="4:11">
      <c r="D3" s="93"/>
      <c r="E3" s="93"/>
      <c r="F3" s="93"/>
      <c r="G3" s="301"/>
      <c r="H3" s="302"/>
      <c r="I3" s="302"/>
      <c r="J3" s="302"/>
      <c r="K3" s="301"/>
    </row>
    <row r="4" ht="18" customHeight="1" spans="2:11">
      <c r="B4" s="857" t="s">
        <v>60</v>
      </c>
      <c r="C4" s="858"/>
      <c r="D4" s="858"/>
      <c r="E4" s="858"/>
      <c r="F4" s="859"/>
      <c r="G4" s="860" t="s">
        <v>61</v>
      </c>
      <c r="H4" s="860"/>
      <c r="I4" s="860"/>
      <c r="J4" s="860"/>
      <c r="K4" s="917"/>
    </row>
    <row r="5" ht="26" spans="2:11">
      <c r="B5" s="861"/>
      <c r="C5" s="862"/>
      <c r="D5" s="862"/>
      <c r="E5" s="862"/>
      <c r="F5" s="863"/>
      <c r="G5" s="864" t="s">
        <v>62</v>
      </c>
      <c r="H5" s="864" t="s">
        <v>63</v>
      </c>
      <c r="I5" s="864" t="s">
        <v>64</v>
      </c>
      <c r="J5" s="864" t="s">
        <v>65</v>
      </c>
      <c r="K5" s="918" t="s">
        <v>66</v>
      </c>
    </row>
    <row r="6" ht="16.5" customHeight="1" spans="2:11">
      <c r="B6" s="865" t="s">
        <v>67</v>
      </c>
      <c r="C6" s="866"/>
      <c r="D6" s="867" t="s">
        <v>68</v>
      </c>
      <c r="E6" s="867"/>
      <c r="F6" s="868"/>
      <c r="G6" s="869" t="s">
        <v>69</v>
      </c>
      <c r="H6" s="869"/>
      <c r="I6" s="869"/>
      <c r="J6" s="869"/>
      <c r="K6" s="919"/>
    </row>
    <row r="7" ht="16.5" customHeight="1" spans="2:17">
      <c r="B7" s="865" t="s">
        <v>70</v>
      </c>
      <c r="C7" s="866"/>
      <c r="D7" s="683" t="s">
        <v>71</v>
      </c>
      <c r="E7" s="683"/>
      <c r="F7" s="641"/>
      <c r="G7" s="869"/>
      <c r="H7" s="869" t="s">
        <v>69</v>
      </c>
      <c r="I7" s="869"/>
      <c r="J7" s="869"/>
      <c r="K7" s="919"/>
      <c r="L7" s="853">
        <f>K7</f>
        <v>0</v>
      </c>
      <c r="M7" s="920"/>
      <c r="N7" s="920"/>
      <c r="O7" s="920"/>
      <c r="P7" s="920"/>
      <c r="Q7" s="920"/>
    </row>
    <row r="8" ht="16.5" customHeight="1" spans="2:12">
      <c r="B8" s="865" t="s">
        <v>72</v>
      </c>
      <c r="C8" s="866"/>
      <c r="D8" s="683" t="s">
        <v>73</v>
      </c>
      <c r="E8" s="683"/>
      <c r="F8" s="641"/>
      <c r="G8" s="869"/>
      <c r="H8" s="869"/>
      <c r="I8" s="869" t="s">
        <v>69</v>
      </c>
      <c r="J8" s="869"/>
      <c r="K8" s="919"/>
      <c r="L8" s="853">
        <f>K9</f>
        <v>0</v>
      </c>
    </row>
    <row r="9" ht="16.5" customHeight="1" spans="2:11">
      <c r="B9" s="865" t="s">
        <v>74</v>
      </c>
      <c r="C9" s="866"/>
      <c r="D9" s="683" t="s">
        <v>75</v>
      </c>
      <c r="E9" s="683"/>
      <c r="F9" s="641"/>
      <c r="G9" s="869"/>
      <c r="H9" s="869"/>
      <c r="I9" s="869"/>
      <c r="J9" s="869" t="s">
        <v>69</v>
      </c>
      <c r="K9" s="919"/>
    </row>
    <row r="10" ht="16.5" customHeight="1" spans="2:11">
      <c r="B10" s="865" t="s">
        <v>76</v>
      </c>
      <c r="C10" s="866"/>
      <c r="D10" s="683" t="s">
        <v>77</v>
      </c>
      <c r="E10" s="683"/>
      <c r="F10" s="641"/>
      <c r="G10" s="869"/>
      <c r="H10" s="869"/>
      <c r="I10" s="869"/>
      <c r="J10" s="869"/>
      <c r="K10" s="919" t="s">
        <v>69</v>
      </c>
    </row>
    <row r="11" ht="26.25" customHeight="1" spans="2:11">
      <c r="B11" s="870" t="s">
        <v>78</v>
      </c>
      <c r="C11" s="871"/>
      <c r="D11" s="871"/>
      <c r="E11" s="871"/>
      <c r="F11" s="872"/>
      <c r="G11" s="864"/>
      <c r="H11" s="864"/>
      <c r="I11" s="864"/>
      <c r="J11" s="864"/>
      <c r="K11" s="918"/>
    </row>
    <row r="12" s="852" customFormat="1" ht="26" spans="2:11">
      <c r="B12" s="873" t="s">
        <v>60</v>
      </c>
      <c r="C12" s="874" t="s">
        <v>79</v>
      </c>
      <c r="D12" s="875" t="s">
        <v>80</v>
      </c>
      <c r="E12" s="875" t="s">
        <v>81</v>
      </c>
      <c r="F12" s="876" t="s">
        <v>4</v>
      </c>
      <c r="G12" s="864" t="s">
        <v>62</v>
      </c>
      <c r="H12" s="864" t="s">
        <v>63</v>
      </c>
      <c r="I12" s="864" t="s">
        <v>64</v>
      </c>
      <c r="J12" s="864" t="s">
        <v>65</v>
      </c>
      <c r="K12" s="918" t="s">
        <v>66</v>
      </c>
    </row>
    <row r="13" s="852" customFormat="1" ht="15.75" customHeight="1" spans="2:11">
      <c r="B13" s="877"/>
      <c r="C13" s="866"/>
      <c r="D13" s="878" t="s">
        <v>82</v>
      </c>
      <c r="E13" s="879"/>
      <c r="F13" s="880"/>
      <c r="G13" s="869"/>
      <c r="H13" s="869"/>
      <c r="I13" s="869"/>
      <c r="J13" s="869"/>
      <c r="K13" s="919"/>
    </row>
    <row r="14" s="852" customFormat="1" ht="16.5" customHeight="1" spans="2:11">
      <c r="B14" s="881" t="s">
        <v>74</v>
      </c>
      <c r="C14" s="882">
        <v>1</v>
      </c>
      <c r="D14" s="883" t="s">
        <v>83</v>
      </c>
      <c r="E14" s="884" t="s">
        <v>7</v>
      </c>
      <c r="F14" s="885" t="str">
        <f>目录!E7&amp;"、"&amp;目录!E17</f>
        <v>1010-3-1、1010-11</v>
      </c>
      <c r="G14" s="886"/>
      <c r="H14" s="886"/>
      <c r="I14" s="886"/>
      <c r="J14" s="914" t="s">
        <v>69</v>
      </c>
      <c r="K14" s="921"/>
    </row>
    <row r="15" s="852" customFormat="1" ht="18" customHeight="1" spans="2:11">
      <c r="B15" s="887"/>
      <c r="C15" s="888"/>
      <c r="D15" s="889"/>
      <c r="E15" s="890"/>
      <c r="F15" s="891"/>
      <c r="G15" s="892"/>
      <c r="H15" s="892"/>
      <c r="I15" s="892"/>
      <c r="J15" s="910"/>
      <c r="K15" s="922"/>
    </row>
    <row r="16" s="852" customFormat="1" ht="104.1" customHeight="1" spans="2:19">
      <c r="B16" s="877" t="s">
        <v>84</v>
      </c>
      <c r="C16" s="866">
        <v>2</v>
      </c>
      <c r="D16" s="893" t="s">
        <v>85</v>
      </c>
      <c r="E16" s="879" t="s">
        <v>7</v>
      </c>
      <c r="F16" s="894" t="str">
        <f>目录!E10</f>
        <v>1010-4</v>
      </c>
      <c r="G16" s="642" t="s">
        <v>69</v>
      </c>
      <c r="H16" s="642" t="s">
        <v>69</v>
      </c>
      <c r="I16" s="642" t="s">
        <v>69</v>
      </c>
      <c r="J16" s="642" t="s">
        <v>69</v>
      </c>
      <c r="K16" s="923"/>
      <c r="O16" s="873"/>
      <c r="P16" s="874"/>
      <c r="Q16" s="875"/>
      <c r="R16" s="875"/>
      <c r="S16" s="876"/>
    </row>
    <row r="17" s="852" customFormat="1" ht="30.6" customHeight="1" spans="2:19">
      <c r="B17" s="877" t="s">
        <v>86</v>
      </c>
      <c r="C17" s="866">
        <v>3</v>
      </c>
      <c r="D17" s="893" t="s">
        <v>87</v>
      </c>
      <c r="E17" s="879" t="s">
        <v>7</v>
      </c>
      <c r="F17" s="894" t="str">
        <f>目录!E19</f>
        <v>1010-13</v>
      </c>
      <c r="G17" s="642" t="s">
        <v>69</v>
      </c>
      <c r="H17" s="642" t="s">
        <v>69</v>
      </c>
      <c r="I17" s="895"/>
      <c r="J17" s="642" t="s">
        <v>69</v>
      </c>
      <c r="K17" s="923"/>
      <c r="O17" s="877"/>
      <c r="P17" s="866"/>
      <c r="Q17" s="878"/>
      <c r="R17" s="879"/>
      <c r="S17" s="880"/>
    </row>
    <row r="18" s="852" customFormat="1" ht="24.9" customHeight="1" spans="2:19">
      <c r="B18" s="877"/>
      <c r="C18" s="866">
        <v>4</v>
      </c>
      <c r="D18" s="893" t="s">
        <v>88</v>
      </c>
      <c r="E18" s="879"/>
      <c r="F18" s="894"/>
      <c r="G18" s="895"/>
      <c r="H18" s="895"/>
      <c r="I18" s="895"/>
      <c r="J18" s="895"/>
      <c r="K18" s="923"/>
      <c r="O18" s="881"/>
      <c r="P18" s="882"/>
      <c r="Q18" s="883"/>
      <c r="R18" s="884"/>
      <c r="S18" s="885"/>
    </row>
    <row r="19" s="852" customFormat="1" ht="45" customHeight="1" spans="2:19">
      <c r="B19" s="877"/>
      <c r="C19" s="866">
        <v>5</v>
      </c>
      <c r="D19" s="896" t="s">
        <v>89</v>
      </c>
      <c r="E19" s="879" t="s">
        <v>7</v>
      </c>
      <c r="F19" s="897" t="str">
        <f>目录!E20</f>
        <v>1010-14</v>
      </c>
      <c r="G19" s="895"/>
      <c r="H19" s="895"/>
      <c r="I19" s="895"/>
      <c r="J19" s="895"/>
      <c r="K19" s="923"/>
      <c r="O19" s="887"/>
      <c r="P19" s="888"/>
      <c r="Q19" s="889"/>
      <c r="R19" s="890"/>
      <c r="S19" s="891"/>
    </row>
    <row r="20" s="852" customFormat="1" ht="59.4" customHeight="1" spans="2:19">
      <c r="B20" s="877"/>
      <c r="C20" s="866"/>
      <c r="D20" s="896" t="s">
        <v>90</v>
      </c>
      <c r="E20" s="879"/>
      <c r="F20" s="894"/>
      <c r="G20" s="642" t="s">
        <v>69</v>
      </c>
      <c r="H20" s="642" t="s">
        <v>69</v>
      </c>
      <c r="I20" s="895"/>
      <c r="J20" s="642" t="s">
        <v>69</v>
      </c>
      <c r="K20" s="924" t="s">
        <v>69</v>
      </c>
      <c r="O20" s="877"/>
      <c r="P20" s="866"/>
      <c r="Q20" s="893"/>
      <c r="R20" s="879"/>
      <c r="S20" s="894"/>
    </row>
    <row r="21" s="852" customFormat="1" ht="33.9" customHeight="1" spans="2:19">
      <c r="B21" s="877"/>
      <c r="C21" s="866"/>
      <c r="D21" s="896" t="s">
        <v>91</v>
      </c>
      <c r="E21" s="879"/>
      <c r="F21" s="894"/>
      <c r="G21" s="642" t="s">
        <v>69</v>
      </c>
      <c r="H21" s="642" t="s">
        <v>69</v>
      </c>
      <c r="I21" s="895"/>
      <c r="J21" s="642" t="s">
        <v>69</v>
      </c>
      <c r="K21" s="924" t="s">
        <v>69</v>
      </c>
      <c r="O21" s="877"/>
      <c r="P21" s="866"/>
      <c r="Q21" s="893"/>
      <c r="R21" s="879"/>
      <c r="S21" s="894"/>
    </row>
    <row r="22" s="852" customFormat="1" ht="32.1" customHeight="1" spans="2:19">
      <c r="B22" s="877"/>
      <c r="C22" s="866"/>
      <c r="D22" s="896" t="s">
        <v>92</v>
      </c>
      <c r="E22" s="879"/>
      <c r="F22" s="894"/>
      <c r="G22" s="642" t="s">
        <v>69</v>
      </c>
      <c r="H22" s="642" t="s">
        <v>69</v>
      </c>
      <c r="I22" s="895"/>
      <c r="J22" s="642" t="s">
        <v>69</v>
      </c>
      <c r="K22" s="924" t="s">
        <v>69</v>
      </c>
      <c r="O22" s="877"/>
      <c r="P22" s="866"/>
      <c r="Q22" s="893"/>
      <c r="R22" s="879"/>
      <c r="S22" s="894"/>
    </row>
    <row r="23" s="852" customFormat="1" ht="65" spans="2:19">
      <c r="B23" s="877"/>
      <c r="C23" s="866"/>
      <c r="D23" s="896" t="s">
        <v>93</v>
      </c>
      <c r="E23" s="879"/>
      <c r="F23" s="894"/>
      <c r="G23" s="642" t="s">
        <v>69</v>
      </c>
      <c r="H23" s="642" t="s">
        <v>69</v>
      </c>
      <c r="I23" s="895"/>
      <c r="J23" s="642" t="s">
        <v>69</v>
      </c>
      <c r="K23" s="924" t="s">
        <v>69</v>
      </c>
      <c r="O23" s="877"/>
      <c r="P23" s="866"/>
      <c r="Q23" s="896"/>
      <c r="R23" s="879"/>
      <c r="S23" s="897"/>
    </row>
    <row r="24" s="852" customFormat="1" ht="26" spans="2:19">
      <c r="B24" s="877"/>
      <c r="C24" s="866"/>
      <c r="D24" s="896" t="s">
        <v>94</v>
      </c>
      <c r="E24" s="879"/>
      <c r="F24" s="894"/>
      <c r="G24" s="642" t="s">
        <v>69</v>
      </c>
      <c r="H24" s="642" t="s">
        <v>69</v>
      </c>
      <c r="I24" s="895"/>
      <c r="J24" s="642" t="s">
        <v>69</v>
      </c>
      <c r="K24" s="924" t="s">
        <v>69</v>
      </c>
      <c r="O24" s="877"/>
      <c r="P24" s="866"/>
      <c r="Q24" s="896"/>
      <c r="R24" s="879"/>
      <c r="S24" s="894"/>
    </row>
    <row r="25" s="852" customFormat="1" ht="39" spans="2:19">
      <c r="B25" s="877"/>
      <c r="C25" s="866"/>
      <c r="D25" s="896" t="s">
        <v>95</v>
      </c>
      <c r="E25" s="879"/>
      <c r="F25" s="894"/>
      <c r="G25" s="642" t="s">
        <v>69</v>
      </c>
      <c r="H25" s="642" t="s">
        <v>69</v>
      </c>
      <c r="I25" s="895"/>
      <c r="J25" s="642" t="s">
        <v>69</v>
      </c>
      <c r="K25" s="924" t="s">
        <v>69</v>
      </c>
      <c r="O25" s="877"/>
      <c r="P25" s="866"/>
      <c r="Q25" s="896"/>
      <c r="R25" s="879"/>
      <c r="S25" s="894"/>
    </row>
    <row r="26" s="852" customFormat="1" ht="21" customHeight="1" spans="2:19">
      <c r="B26" s="877"/>
      <c r="C26" s="866"/>
      <c r="D26" s="896" t="s">
        <v>96</v>
      </c>
      <c r="E26" s="879"/>
      <c r="F26" s="894"/>
      <c r="G26" s="642" t="s">
        <v>69</v>
      </c>
      <c r="H26" s="642" t="s">
        <v>69</v>
      </c>
      <c r="I26" s="895"/>
      <c r="J26" s="642" t="s">
        <v>69</v>
      </c>
      <c r="K26" s="924" t="s">
        <v>69</v>
      </c>
      <c r="O26" s="877"/>
      <c r="P26" s="866"/>
      <c r="Q26" s="896"/>
      <c r="R26" s="879"/>
      <c r="S26" s="894"/>
    </row>
    <row r="27" s="852" customFormat="1" ht="39" spans="2:19">
      <c r="B27" s="877"/>
      <c r="C27" s="866"/>
      <c r="D27" s="896" t="s">
        <v>97</v>
      </c>
      <c r="E27" s="879"/>
      <c r="F27" s="894"/>
      <c r="G27" s="642" t="s">
        <v>69</v>
      </c>
      <c r="H27" s="642" t="s">
        <v>69</v>
      </c>
      <c r="I27" s="895"/>
      <c r="J27" s="642" t="s">
        <v>69</v>
      </c>
      <c r="K27" s="924" t="s">
        <v>69</v>
      </c>
      <c r="O27" s="877"/>
      <c r="P27" s="866"/>
      <c r="Q27" s="896"/>
      <c r="R27" s="879"/>
      <c r="S27" s="894"/>
    </row>
    <row r="28" s="852" customFormat="1" ht="26" spans="2:19">
      <c r="B28" s="877"/>
      <c r="C28" s="866"/>
      <c r="D28" s="896" t="s">
        <v>98</v>
      </c>
      <c r="E28" s="879"/>
      <c r="F28" s="894"/>
      <c r="G28" s="642" t="s">
        <v>69</v>
      </c>
      <c r="H28" s="642" t="s">
        <v>69</v>
      </c>
      <c r="I28" s="895"/>
      <c r="J28" s="642" t="s">
        <v>69</v>
      </c>
      <c r="K28" s="924" t="s">
        <v>69</v>
      </c>
      <c r="O28" s="877"/>
      <c r="P28" s="866"/>
      <c r="Q28" s="896"/>
      <c r="R28" s="879"/>
      <c r="S28" s="894"/>
    </row>
    <row r="29" s="852" customFormat="1" ht="20.1" customHeight="1" spans="2:19">
      <c r="B29" s="877"/>
      <c r="C29" s="866"/>
      <c r="D29" s="893" t="s">
        <v>99</v>
      </c>
      <c r="E29" s="898"/>
      <c r="F29" s="894"/>
      <c r="G29" s="895"/>
      <c r="H29" s="895"/>
      <c r="I29" s="895"/>
      <c r="J29" s="895"/>
      <c r="K29" s="923"/>
      <c r="O29" s="877"/>
      <c r="P29" s="866"/>
      <c r="Q29" s="896"/>
      <c r="R29" s="879"/>
      <c r="S29" s="894"/>
    </row>
    <row r="30" s="852" customFormat="1" ht="14.25" customHeight="1" spans="2:19">
      <c r="B30" s="881" t="s">
        <v>74</v>
      </c>
      <c r="C30" s="882">
        <v>6</v>
      </c>
      <c r="D30" s="883" t="s">
        <v>100</v>
      </c>
      <c r="E30" s="884" t="s">
        <v>7</v>
      </c>
      <c r="F30" s="885" t="str">
        <f>目录!E8&amp;"、"&amp;目录!E17</f>
        <v>1010-3-2、1010-11</v>
      </c>
      <c r="G30" s="886"/>
      <c r="H30" s="886"/>
      <c r="I30" s="886"/>
      <c r="J30" s="914" t="s">
        <v>69</v>
      </c>
      <c r="K30" s="921"/>
      <c r="O30" s="877"/>
      <c r="P30" s="866"/>
      <c r="Q30" s="896"/>
      <c r="R30" s="879"/>
      <c r="S30" s="894"/>
    </row>
    <row r="31" s="852" customFormat="1" ht="14.25" customHeight="1" spans="2:19">
      <c r="B31" s="899"/>
      <c r="C31" s="900"/>
      <c r="D31" s="901"/>
      <c r="E31" s="902"/>
      <c r="F31" s="903"/>
      <c r="G31" s="904"/>
      <c r="H31" s="904"/>
      <c r="I31" s="904"/>
      <c r="J31" s="925"/>
      <c r="K31" s="926"/>
      <c r="O31" s="877"/>
      <c r="P31" s="866"/>
      <c r="Q31" s="896"/>
      <c r="R31" s="879"/>
      <c r="S31" s="894"/>
    </row>
    <row r="32" s="852" customFormat="1" ht="14.25" customHeight="1" spans="2:19">
      <c r="B32" s="887"/>
      <c r="C32" s="888"/>
      <c r="D32" s="889"/>
      <c r="E32" s="890"/>
      <c r="F32" s="891"/>
      <c r="G32" s="892"/>
      <c r="H32" s="892"/>
      <c r="I32" s="892"/>
      <c r="J32" s="910"/>
      <c r="K32" s="922"/>
      <c r="O32" s="877"/>
      <c r="P32" s="866"/>
      <c r="Q32" s="896"/>
      <c r="R32" s="879"/>
      <c r="S32" s="894"/>
    </row>
    <row r="33" s="852" customFormat="1" ht="27" customHeight="1" spans="2:19">
      <c r="B33" s="887"/>
      <c r="C33" s="905">
        <v>7</v>
      </c>
      <c r="D33" s="906" t="s">
        <v>101</v>
      </c>
      <c r="E33" s="907"/>
      <c r="F33" s="891"/>
      <c r="G33" s="892"/>
      <c r="H33" s="892"/>
      <c r="I33" s="892"/>
      <c r="J33" s="642"/>
      <c r="K33" s="924" t="s">
        <v>69</v>
      </c>
      <c r="O33" s="877"/>
      <c r="P33" s="866"/>
      <c r="Q33" s="893"/>
      <c r="R33" s="898"/>
      <c r="S33" s="894"/>
    </row>
    <row r="34" s="852" customFormat="1" ht="42.75" customHeight="1" spans="2:19">
      <c r="B34" s="887"/>
      <c r="C34" s="905"/>
      <c r="D34" s="908" t="s">
        <v>102</v>
      </c>
      <c r="E34" s="907"/>
      <c r="F34" s="891"/>
      <c r="G34" s="892"/>
      <c r="H34" s="642" t="s">
        <v>69</v>
      </c>
      <c r="I34" s="892"/>
      <c r="J34" s="642" t="s">
        <v>69</v>
      </c>
      <c r="K34" s="924" t="s">
        <v>69</v>
      </c>
      <c r="O34" s="881"/>
      <c r="P34" s="882"/>
      <c r="Q34" s="883"/>
      <c r="R34" s="884"/>
      <c r="S34" s="885"/>
    </row>
    <row r="35" s="852" customFormat="1" ht="52" spans="2:19">
      <c r="B35" s="887"/>
      <c r="C35" s="905"/>
      <c r="D35" s="908" t="s">
        <v>103</v>
      </c>
      <c r="E35" s="907"/>
      <c r="F35" s="891"/>
      <c r="G35" s="892"/>
      <c r="H35" s="642" t="s">
        <v>69</v>
      </c>
      <c r="I35" s="892"/>
      <c r="J35" s="642" t="s">
        <v>69</v>
      </c>
      <c r="K35" s="924" t="s">
        <v>69</v>
      </c>
      <c r="O35" s="899"/>
      <c r="P35" s="900"/>
      <c r="Q35" s="901"/>
      <c r="R35" s="902"/>
      <c r="S35" s="903"/>
    </row>
    <row r="36" s="852" customFormat="1" ht="39" spans="2:19">
      <c r="B36" s="877" t="s">
        <v>70</v>
      </c>
      <c r="C36" s="866"/>
      <c r="D36" s="909" t="s">
        <v>104</v>
      </c>
      <c r="E36" s="879" t="s">
        <v>7</v>
      </c>
      <c r="F36" s="897" t="str">
        <f>目录!E11</f>
        <v>1010-5</v>
      </c>
      <c r="G36" s="895"/>
      <c r="H36" s="642" t="s">
        <v>69</v>
      </c>
      <c r="I36" s="895"/>
      <c r="J36" s="642"/>
      <c r="K36" s="924"/>
      <c r="O36" s="887"/>
      <c r="P36" s="888"/>
      <c r="Q36" s="889"/>
      <c r="R36" s="890"/>
      <c r="S36" s="891"/>
    </row>
    <row r="37" s="852" customFormat="1" ht="26" spans="2:19">
      <c r="B37" s="887"/>
      <c r="C37" s="905"/>
      <c r="D37" s="908" t="s">
        <v>105</v>
      </c>
      <c r="E37" s="907"/>
      <c r="F37" s="891"/>
      <c r="G37" s="892"/>
      <c r="H37" s="910" t="s">
        <v>69</v>
      </c>
      <c r="I37" s="892"/>
      <c r="J37" s="910" t="s">
        <v>69</v>
      </c>
      <c r="K37" s="922"/>
      <c r="O37" s="887"/>
      <c r="P37" s="905"/>
      <c r="Q37" s="906"/>
      <c r="R37" s="907"/>
      <c r="S37" s="891"/>
    </row>
    <row r="38" s="852" customFormat="1" ht="91" spans="2:19">
      <c r="B38" s="887"/>
      <c r="C38" s="905"/>
      <c r="D38" s="911" t="s">
        <v>106</v>
      </c>
      <c r="E38" s="907"/>
      <c r="F38" s="891"/>
      <c r="G38" s="892"/>
      <c r="H38" s="642" t="s">
        <v>69</v>
      </c>
      <c r="I38" s="892"/>
      <c r="J38" s="642" t="s">
        <v>69</v>
      </c>
      <c r="K38" s="922"/>
      <c r="O38" s="887"/>
      <c r="P38" s="905"/>
      <c r="Q38" s="908"/>
      <c r="R38" s="907"/>
      <c r="S38" s="891"/>
    </row>
    <row r="39" s="852" customFormat="1" ht="102" customHeight="1" spans="2:19">
      <c r="B39" s="877" t="s">
        <v>107</v>
      </c>
      <c r="C39" s="866">
        <v>8</v>
      </c>
      <c r="D39" s="893" t="s">
        <v>108</v>
      </c>
      <c r="E39" s="879"/>
      <c r="F39" s="894"/>
      <c r="G39" s="642" t="s">
        <v>69</v>
      </c>
      <c r="H39" s="642" t="s">
        <v>69</v>
      </c>
      <c r="I39" s="895"/>
      <c r="J39" s="642" t="s">
        <v>69</v>
      </c>
      <c r="K39" s="923"/>
      <c r="O39" s="887"/>
      <c r="P39" s="905"/>
      <c r="Q39" s="908"/>
      <c r="R39" s="907"/>
      <c r="S39" s="891"/>
    </row>
    <row r="40" s="852" customFormat="1" ht="57" customHeight="1" spans="2:19">
      <c r="B40" s="877"/>
      <c r="C40" s="866">
        <v>9</v>
      </c>
      <c r="D40" s="896" t="s">
        <v>109</v>
      </c>
      <c r="E40" s="879"/>
      <c r="F40" s="894"/>
      <c r="G40" s="642" t="s">
        <v>69</v>
      </c>
      <c r="H40" s="642" t="s">
        <v>69</v>
      </c>
      <c r="I40" s="895"/>
      <c r="J40" s="642" t="s">
        <v>69</v>
      </c>
      <c r="K40" s="923"/>
      <c r="O40" s="877"/>
      <c r="P40" s="866"/>
      <c r="Q40" s="909"/>
      <c r="R40" s="879"/>
      <c r="S40" s="897"/>
    </row>
    <row r="41" s="852" customFormat="1" ht="68.25" customHeight="1" spans="2:19">
      <c r="B41" s="877" t="s">
        <v>110</v>
      </c>
      <c r="C41" s="866">
        <v>10</v>
      </c>
      <c r="D41" s="893" t="s">
        <v>111</v>
      </c>
      <c r="E41" s="879" t="s">
        <v>7</v>
      </c>
      <c r="F41" s="897">
        <f>目录!E21</f>
        <v>1011</v>
      </c>
      <c r="G41" s="642" t="s">
        <v>69</v>
      </c>
      <c r="H41" s="895"/>
      <c r="I41" s="642" t="s">
        <v>69</v>
      </c>
      <c r="J41" s="895"/>
      <c r="K41" s="923"/>
      <c r="O41" s="887"/>
      <c r="P41" s="905"/>
      <c r="Q41" s="908"/>
      <c r="R41" s="907"/>
      <c r="S41" s="891"/>
    </row>
    <row r="42" s="852" customFormat="1" ht="130" spans="2:19">
      <c r="B42" s="877" t="s">
        <v>72</v>
      </c>
      <c r="C42" s="866">
        <v>11</v>
      </c>
      <c r="D42" s="893" t="s">
        <v>112</v>
      </c>
      <c r="E42" s="879" t="s">
        <v>7</v>
      </c>
      <c r="F42" s="897" t="str">
        <f>目录!E11</f>
        <v>1010-5</v>
      </c>
      <c r="G42" s="895"/>
      <c r="H42" s="895"/>
      <c r="I42" s="642" t="s">
        <v>69</v>
      </c>
      <c r="J42" s="895"/>
      <c r="K42" s="923"/>
      <c r="O42" s="887"/>
      <c r="P42" s="905"/>
      <c r="Q42" s="911"/>
      <c r="R42" s="907"/>
      <c r="S42" s="891"/>
    </row>
    <row r="43" s="852" customFormat="1" ht="60.75" customHeight="1" spans="2:19">
      <c r="B43" s="877" t="s">
        <v>113</v>
      </c>
      <c r="C43" s="866">
        <v>12</v>
      </c>
      <c r="D43" s="893" t="s">
        <v>114</v>
      </c>
      <c r="E43" s="879" t="s">
        <v>7</v>
      </c>
      <c r="F43" s="897" t="str">
        <f>目录!E20</f>
        <v>1010-14</v>
      </c>
      <c r="G43" s="895" t="s">
        <v>69</v>
      </c>
      <c r="H43" s="895" t="s">
        <v>69</v>
      </c>
      <c r="I43" s="642"/>
      <c r="J43" s="895"/>
      <c r="K43" s="924"/>
      <c r="O43" s="877"/>
      <c r="P43" s="866"/>
      <c r="Q43" s="893"/>
      <c r="R43" s="879"/>
      <c r="S43" s="894"/>
    </row>
    <row r="44" s="852" customFormat="1" ht="27" customHeight="1" spans="2:19">
      <c r="B44" s="877" t="s">
        <v>76</v>
      </c>
      <c r="C44" s="866">
        <v>13</v>
      </c>
      <c r="D44" s="893" t="s">
        <v>115</v>
      </c>
      <c r="E44" s="879" t="s">
        <v>7</v>
      </c>
      <c r="F44" s="894" t="str">
        <f>目录!E16</f>
        <v>1010-10</v>
      </c>
      <c r="G44" s="895"/>
      <c r="H44" s="895"/>
      <c r="I44" s="642"/>
      <c r="J44" s="895"/>
      <c r="K44" s="924" t="s">
        <v>69</v>
      </c>
      <c r="O44" s="877"/>
      <c r="P44" s="866"/>
      <c r="Q44" s="896"/>
      <c r="R44" s="879"/>
      <c r="S44" s="894"/>
    </row>
    <row r="45" s="852" customFormat="1" ht="28.5" customHeight="1" spans="2:19">
      <c r="B45" s="877" t="s">
        <v>76</v>
      </c>
      <c r="C45" s="866">
        <v>14</v>
      </c>
      <c r="D45" s="893" t="s">
        <v>116</v>
      </c>
      <c r="E45" s="879" t="s">
        <v>7</v>
      </c>
      <c r="F45" s="897" t="str">
        <f>目录!E16</f>
        <v>1010-10</v>
      </c>
      <c r="G45" s="895"/>
      <c r="H45" s="895"/>
      <c r="I45" s="895"/>
      <c r="J45" s="895"/>
      <c r="K45" s="924" t="s">
        <v>69</v>
      </c>
      <c r="O45" s="877"/>
      <c r="P45" s="866"/>
      <c r="Q45" s="893"/>
      <c r="R45" s="879"/>
      <c r="S45" s="897"/>
    </row>
    <row r="46" s="852" customFormat="1" ht="377" spans="2:19">
      <c r="B46" s="877" t="s">
        <v>86</v>
      </c>
      <c r="C46" s="866">
        <v>15</v>
      </c>
      <c r="D46" s="893" t="s">
        <v>117</v>
      </c>
      <c r="E46" s="879" t="s">
        <v>7</v>
      </c>
      <c r="F46" s="894" t="str">
        <f>目录!E18&amp;"、"&amp;目录!E19</f>
        <v>1010-12、1010-13</v>
      </c>
      <c r="G46" s="642" t="s">
        <v>69</v>
      </c>
      <c r="H46" s="642" t="s">
        <v>69</v>
      </c>
      <c r="I46" s="895"/>
      <c r="J46" s="642" t="s">
        <v>69</v>
      </c>
      <c r="K46" s="923"/>
      <c r="O46" s="877"/>
      <c r="P46" s="866"/>
      <c r="Q46" s="893"/>
      <c r="R46" s="879"/>
      <c r="S46" s="897"/>
    </row>
    <row r="47" s="852" customFormat="1" ht="18" customHeight="1" spans="2:19">
      <c r="B47" s="877" t="s">
        <v>70</v>
      </c>
      <c r="C47" s="866">
        <v>16</v>
      </c>
      <c r="D47" s="893" t="s">
        <v>118</v>
      </c>
      <c r="E47" s="879" t="s">
        <v>7</v>
      </c>
      <c r="F47" s="894" t="str">
        <f>目录!E13</f>
        <v>1010-7</v>
      </c>
      <c r="G47" s="642"/>
      <c r="H47" s="642" t="s">
        <v>69</v>
      </c>
      <c r="I47" s="895"/>
      <c r="J47" s="895"/>
      <c r="K47" s="923"/>
      <c r="O47" s="877"/>
      <c r="P47" s="866"/>
      <c r="Q47" s="893"/>
      <c r="R47" s="879"/>
      <c r="S47" s="897"/>
    </row>
    <row r="48" s="852" customFormat="1" ht="66.6" customHeight="1" spans="2:19">
      <c r="B48" s="877" t="s">
        <v>119</v>
      </c>
      <c r="C48" s="866">
        <v>17</v>
      </c>
      <c r="D48" s="893" t="s">
        <v>120</v>
      </c>
      <c r="E48" s="879" t="s">
        <v>7</v>
      </c>
      <c r="F48" s="894" t="str">
        <f>目录!E18</f>
        <v>1010-12</v>
      </c>
      <c r="G48" s="642" t="s">
        <v>69</v>
      </c>
      <c r="H48" s="642" t="s">
        <v>69</v>
      </c>
      <c r="I48" s="642" t="s">
        <v>69</v>
      </c>
      <c r="J48" s="895"/>
      <c r="K48" s="923"/>
      <c r="O48" s="877"/>
      <c r="P48" s="866"/>
      <c r="Q48" s="893"/>
      <c r="R48" s="879"/>
      <c r="S48" s="894"/>
    </row>
    <row r="49" s="852" customFormat="1" spans="2:19">
      <c r="B49" s="877"/>
      <c r="C49" s="866">
        <v>18</v>
      </c>
      <c r="D49" s="893" t="s">
        <v>88</v>
      </c>
      <c r="E49" s="879"/>
      <c r="F49" s="894"/>
      <c r="G49" s="895"/>
      <c r="H49" s="895"/>
      <c r="I49" s="895"/>
      <c r="J49" s="895"/>
      <c r="K49" s="923"/>
      <c r="O49" s="877"/>
      <c r="P49" s="866"/>
      <c r="Q49" s="893"/>
      <c r="R49" s="879"/>
      <c r="S49" s="897"/>
    </row>
    <row r="50" s="852" customFormat="1" spans="2:19">
      <c r="B50" s="877"/>
      <c r="C50" s="866"/>
      <c r="D50" s="896" t="s">
        <v>121</v>
      </c>
      <c r="E50" s="879"/>
      <c r="F50" s="894"/>
      <c r="G50" s="895"/>
      <c r="H50" s="895"/>
      <c r="I50" s="895"/>
      <c r="J50" s="895"/>
      <c r="K50" s="923"/>
      <c r="O50" s="877"/>
      <c r="P50" s="866"/>
      <c r="Q50" s="893"/>
      <c r="R50" s="879"/>
      <c r="S50" s="894"/>
    </row>
    <row r="51" s="852" customFormat="1" ht="18" customHeight="1" spans="2:19">
      <c r="B51" s="877" t="s">
        <v>122</v>
      </c>
      <c r="C51" s="866">
        <v>19</v>
      </c>
      <c r="D51" s="896" t="s">
        <v>123</v>
      </c>
      <c r="E51" s="879" t="s">
        <v>7</v>
      </c>
      <c r="F51" s="894" t="str">
        <f>目录!E15</f>
        <v>1010-9</v>
      </c>
      <c r="G51" s="642" t="s">
        <v>69</v>
      </c>
      <c r="H51" s="642" t="s">
        <v>69</v>
      </c>
      <c r="I51" s="642" t="s">
        <v>69</v>
      </c>
      <c r="J51" s="895"/>
      <c r="K51" s="924" t="s">
        <v>69</v>
      </c>
      <c r="O51" s="877"/>
      <c r="P51" s="866"/>
      <c r="Q51" s="893"/>
      <c r="R51" s="879"/>
      <c r="S51" s="894"/>
    </row>
    <row r="52" s="852" customFormat="1" ht="26.25" customHeight="1" spans="2:19">
      <c r="B52" s="881"/>
      <c r="C52" s="912"/>
      <c r="D52" s="896" t="s">
        <v>124</v>
      </c>
      <c r="E52" s="913"/>
      <c r="F52" s="885"/>
      <c r="G52" s="642" t="s">
        <v>69</v>
      </c>
      <c r="H52" s="642" t="s">
        <v>69</v>
      </c>
      <c r="I52" s="642" t="s">
        <v>69</v>
      </c>
      <c r="J52" s="895"/>
      <c r="K52" s="924" t="s">
        <v>69</v>
      </c>
      <c r="O52" s="877"/>
      <c r="P52" s="866"/>
      <c r="Q52" s="893"/>
      <c r="R52" s="879"/>
      <c r="S52" s="894"/>
    </row>
    <row r="53" s="852" customFormat="1" ht="26.25" customHeight="1" spans="2:19">
      <c r="B53" s="881"/>
      <c r="C53" s="912"/>
      <c r="D53" s="896" t="s">
        <v>125</v>
      </c>
      <c r="E53" s="913"/>
      <c r="F53" s="885"/>
      <c r="G53" s="642" t="s">
        <v>69</v>
      </c>
      <c r="H53" s="642" t="s">
        <v>69</v>
      </c>
      <c r="I53" s="642" t="s">
        <v>69</v>
      </c>
      <c r="J53" s="895"/>
      <c r="K53" s="924" t="s">
        <v>69</v>
      </c>
      <c r="O53" s="877"/>
      <c r="P53" s="866"/>
      <c r="Q53" s="893"/>
      <c r="R53" s="879"/>
      <c r="S53" s="894"/>
    </row>
    <row r="54" s="852" customFormat="1" ht="39" spans="2:19">
      <c r="B54" s="881"/>
      <c r="C54" s="912"/>
      <c r="D54" s="896" t="s">
        <v>126</v>
      </c>
      <c r="E54" s="913"/>
      <c r="F54" s="885"/>
      <c r="G54" s="642" t="s">
        <v>69</v>
      </c>
      <c r="H54" s="642" t="s">
        <v>69</v>
      </c>
      <c r="I54" s="642" t="s">
        <v>69</v>
      </c>
      <c r="J54" s="895"/>
      <c r="K54" s="924" t="s">
        <v>69</v>
      </c>
      <c r="O54" s="877"/>
      <c r="P54" s="866"/>
      <c r="Q54" s="896"/>
      <c r="R54" s="879"/>
      <c r="S54" s="894"/>
    </row>
    <row r="55" s="852" customFormat="1" ht="78" spans="2:19">
      <c r="B55" s="881"/>
      <c r="C55" s="912"/>
      <c r="D55" s="896" t="s">
        <v>127</v>
      </c>
      <c r="E55" s="913"/>
      <c r="F55" s="885"/>
      <c r="G55" s="642" t="s">
        <v>69</v>
      </c>
      <c r="H55" s="642" t="s">
        <v>69</v>
      </c>
      <c r="I55" s="642" t="s">
        <v>69</v>
      </c>
      <c r="J55" s="895"/>
      <c r="K55" s="924" t="s">
        <v>69</v>
      </c>
      <c r="O55" s="877"/>
      <c r="P55" s="866"/>
      <c r="Q55" s="896"/>
      <c r="R55" s="879"/>
      <c r="S55" s="894"/>
    </row>
    <row r="56" s="852" customFormat="1" ht="65" spans="2:19">
      <c r="B56" s="881"/>
      <c r="C56" s="912"/>
      <c r="D56" s="896" t="s">
        <v>128</v>
      </c>
      <c r="E56" s="913"/>
      <c r="F56" s="885"/>
      <c r="G56" s="642" t="s">
        <v>69</v>
      </c>
      <c r="H56" s="642" t="s">
        <v>69</v>
      </c>
      <c r="I56" s="642" t="s">
        <v>69</v>
      </c>
      <c r="J56" s="895"/>
      <c r="K56" s="924" t="s">
        <v>69</v>
      </c>
      <c r="O56" s="881"/>
      <c r="P56" s="912"/>
      <c r="Q56" s="896"/>
      <c r="R56" s="913"/>
      <c r="S56" s="885"/>
    </row>
    <row r="57" s="852" customFormat="1" ht="39" spans="2:19">
      <c r="B57" s="881"/>
      <c r="C57" s="912"/>
      <c r="D57" s="896" t="s">
        <v>129</v>
      </c>
      <c r="E57" s="913"/>
      <c r="F57" s="885"/>
      <c r="G57" s="642" t="s">
        <v>69</v>
      </c>
      <c r="H57" s="642" t="s">
        <v>69</v>
      </c>
      <c r="I57" s="642" t="s">
        <v>69</v>
      </c>
      <c r="J57" s="895"/>
      <c r="K57" s="924" t="s">
        <v>69</v>
      </c>
      <c r="O57" s="881"/>
      <c r="P57" s="912"/>
      <c r="Q57" s="896"/>
      <c r="R57" s="913"/>
      <c r="S57" s="885"/>
    </row>
    <row r="58" s="852" customFormat="1" ht="65" spans="2:19">
      <c r="B58" s="881"/>
      <c r="C58" s="912"/>
      <c r="D58" s="896" t="s">
        <v>130</v>
      </c>
      <c r="E58" s="913"/>
      <c r="F58" s="885"/>
      <c r="G58" s="642" t="s">
        <v>69</v>
      </c>
      <c r="H58" s="642" t="s">
        <v>69</v>
      </c>
      <c r="I58" s="642" t="s">
        <v>69</v>
      </c>
      <c r="J58" s="895"/>
      <c r="K58" s="924" t="s">
        <v>69</v>
      </c>
      <c r="O58" s="881"/>
      <c r="P58" s="912"/>
      <c r="Q58" s="896"/>
      <c r="R58" s="913"/>
      <c r="S58" s="885"/>
    </row>
    <row r="59" s="852" customFormat="1" ht="29.1" customHeight="1" spans="2:19">
      <c r="B59" s="881"/>
      <c r="C59" s="912"/>
      <c r="D59" s="896" t="s">
        <v>131</v>
      </c>
      <c r="E59" s="913"/>
      <c r="F59" s="885"/>
      <c r="G59" s="642" t="s">
        <v>69</v>
      </c>
      <c r="H59" s="642" t="s">
        <v>69</v>
      </c>
      <c r="I59" s="642" t="s">
        <v>69</v>
      </c>
      <c r="J59" s="895"/>
      <c r="K59" s="924" t="s">
        <v>69</v>
      </c>
      <c r="O59" s="881"/>
      <c r="P59" s="912"/>
      <c r="Q59" s="896"/>
      <c r="R59" s="913"/>
      <c r="S59" s="885"/>
    </row>
    <row r="60" s="852" customFormat="1" ht="27.6" customHeight="1" spans="2:19">
      <c r="B60" s="881"/>
      <c r="C60" s="912"/>
      <c r="D60" s="896" t="s">
        <v>132</v>
      </c>
      <c r="E60" s="913"/>
      <c r="F60" s="885"/>
      <c r="G60" s="642" t="s">
        <v>69</v>
      </c>
      <c r="H60" s="642" t="s">
        <v>69</v>
      </c>
      <c r="I60" s="642" t="s">
        <v>69</v>
      </c>
      <c r="J60" s="895"/>
      <c r="K60" s="924" t="s">
        <v>69</v>
      </c>
      <c r="O60" s="881"/>
      <c r="P60" s="912"/>
      <c r="Q60" s="896"/>
      <c r="R60" s="913"/>
      <c r="S60" s="885"/>
    </row>
    <row r="61" s="852" customFormat="1" ht="52" spans="2:19">
      <c r="B61" s="881"/>
      <c r="C61" s="912"/>
      <c r="D61" s="896" t="s">
        <v>133</v>
      </c>
      <c r="E61" s="913"/>
      <c r="F61" s="885"/>
      <c r="G61" s="642" t="s">
        <v>69</v>
      </c>
      <c r="H61" s="642" t="s">
        <v>69</v>
      </c>
      <c r="I61" s="642" t="s">
        <v>69</v>
      </c>
      <c r="J61" s="895"/>
      <c r="K61" s="924" t="s">
        <v>69</v>
      </c>
      <c r="O61" s="881"/>
      <c r="P61" s="912"/>
      <c r="Q61" s="896"/>
      <c r="R61" s="913"/>
      <c r="S61" s="885"/>
    </row>
    <row r="62" s="852" customFormat="1" spans="2:19">
      <c r="B62" s="877"/>
      <c r="C62" s="866"/>
      <c r="D62" s="896" t="s">
        <v>134</v>
      </c>
      <c r="E62" s="879"/>
      <c r="F62" s="894"/>
      <c r="G62" s="895"/>
      <c r="H62" s="895"/>
      <c r="I62" s="895"/>
      <c r="J62" s="895"/>
      <c r="K62" s="923"/>
      <c r="O62" s="881"/>
      <c r="P62" s="912"/>
      <c r="Q62" s="896"/>
      <c r="R62" s="913"/>
      <c r="S62" s="885"/>
    </row>
    <row r="63" s="852" customFormat="1" ht="100.5" customHeight="1" spans="2:19">
      <c r="B63" s="881" t="s">
        <v>135</v>
      </c>
      <c r="C63" s="882">
        <v>20</v>
      </c>
      <c r="D63" s="883" t="s">
        <v>136</v>
      </c>
      <c r="E63" s="884" t="s">
        <v>7</v>
      </c>
      <c r="F63" s="885" t="str">
        <f>目录!E14</f>
        <v>1010-8</v>
      </c>
      <c r="G63" s="914" t="s">
        <v>69</v>
      </c>
      <c r="H63" s="914" t="s">
        <v>69</v>
      </c>
      <c r="I63" s="886"/>
      <c r="J63" s="914" t="s">
        <v>69</v>
      </c>
      <c r="K63" s="921"/>
      <c r="O63" s="881"/>
      <c r="P63" s="912"/>
      <c r="Q63" s="896"/>
      <c r="R63" s="913"/>
      <c r="S63" s="885"/>
    </row>
    <row r="64" s="852" customFormat="1" ht="69.9" customHeight="1" spans="2:19">
      <c r="B64" s="887"/>
      <c r="C64" s="888"/>
      <c r="D64" s="889"/>
      <c r="E64" s="890" t="s">
        <v>7</v>
      </c>
      <c r="F64" s="891"/>
      <c r="G64" s="910"/>
      <c r="H64" s="910"/>
      <c r="I64" s="892"/>
      <c r="J64" s="910"/>
      <c r="K64" s="922"/>
      <c r="O64" s="881"/>
      <c r="P64" s="912"/>
      <c r="Q64" s="896"/>
      <c r="R64" s="913"/>
      <c r="S64" s="885"/>
    </row>
    <row r="65" s="852" customFormat="1" spans="2:19">
      <c r="B65" s="877"/>
      <c r="C65" s="866">
        <v>21</v>
      </c>
      <c r="D65" s="896" t="s">
        <v>137</v>
      </c>
      <c r="E65" s="890" t="s">
        <v>7</v>
      </c>
      <c r="F65" s="894" t="str">
        <f>目录!E14</f>
        <v>1010-8</v>
      </c>
      <c r="G65" s="895"/>
      <c r="H65" s="895"/>
      <c r="I65" s="895"/>
      <c r="J65" s="895"/>
      <c r="K65" s="923"/>
      <c r="O65" s="881"/>
      <c r="P65" s="912"/>
      <c r="Q65" s="896"/>
      <c r="R65" s="913"/>
      <c r="S65" s="885"/>
    </row>
    <row r="66" s="852" customFormat="1" spans="2:19">
      <c r="B66" s="877"/>
      <c r="C66" s="866"/>
      <c r="D66" s="896" t="s">
        <v>138</v>
      </c>
      <c r="E66" s="879"/>
      <c r="F66" s="894"/>
      <c r="G66" s="642" t="s">
        <v>69</v>
      </c>
      <c r="H66" s="642" t="s">
        <v>69</v>
      </c>
      <c r="I66" s="895"/>
      <c r="J66" s="642" t="s">
        <v>69</v>
      </c>
      <c r="K66" s="924" t="s">
        <v>69</v>
      </c>
      <c r="O66" s="877"/>
      <c r="P66" s="866"/>
      <c r="Q66" s="896"/>
      <c r="R66" s="879"/>
      <c r="S66" s="894"/>
    </row>
    <row r="67" s="852" customFormat="1" ht="26" spans="2:19">
      <c r="B67" s="877"/>
      <c r="C67" s="866"/>
      <c r="D67" s="896" t="s">
        <v>139</v>
      </c>
      <c r="E67" s="879"/>
      <c r="F67" s="894"/>
      <c r="G67" s="642" t="s">
        <v>69</v>
      </c>
      <c r="H67" s="642" t="s">
        <v>69</v>
      </c>
      <c r="I67" s="895"/>
      <c r="J67" s="642" t="s">
        <v>69</v>
      </c>
      <c r="K67" s="924" t="s">
        <v>69</v>
      </c>
      <c r="O67" s="881"/>
      <c r="P67" s="882"/>
      <c r="Q67" s="883"/>
      <c r="R67" s="884"/>
      <c r="S67" s="885"/>
    </row>
    <row r="68" s="852" customFormat="1" ht="39" spans="2:19">
      <c r="B68" s="877"/>
      <c r="C68" s="866"/>
      <c r="D68" s="896" t="s">
        <v>140</v>
      </c>
      <c r="E68" s="879" t="s">
        <v>7</v>
      </c>
      <c r="F68" s="897" t="str">
        <f>目录!E12</f>
        <v>1010-6</v>
      </c>
      <c r="G68" s="642" t="s">
        <v>69</v>
      </c>
      <c r="H68" s="642" t="s">
        <v>69</v>
      </c>
      <c r="I68" s="895"/>
      <c r="J68" s="642" t="s">
        <v>69</v>
      </c>
      <c r="K68" s="924" t="s">
        <v>69</v>
      </c>
      <c r="O68" s="887"/>
      <c r="P68" s="888"/>
      <c r="Q68" s="889"/>
      <c r="R68" s="890"/>
      <c r="S68" s="891"/>
    </row>
    <row r="69" s="852" customFormat="1" ht="26" spans="2:19">
      <c r="B69" s="877"/>
      <c r="C69" s="866"/>
      <c r="D69" s="896" t="s">
        <v>141</v>
      </c>
      <c r="E69" s="879"/>
      <c r="F69" s="894"/>
      <c r="G69" s="642" t="s">
        <v>69</v>
      </c>
      <c r="H69" s="642" t="s">
        <v>69</v>
      </c>
      <c r="I69" s="895"/>
      <c r="J69" s="642" t="s">
        <v>69</v>
      </c>
      <c r="K69" s="924" t="s">
        <v>69</v>
      </c>
      <c r="O69" s="877"/>
      <c r="P69" s="866"/>
      <c r="Q69" s="896"/>
      <c r="R69" s="890"/>
      <c r="S69" s="894"/>
    </row>
    <row r="70" s="852" customFormat="1" ht="104" spans="2:19">
      <c r="B70" s="877"/>
      <c r="C70" s="866"/>
      <c r="D70" s="896" t="s">
        <v>142</v>
      </c>
      <c r="E70" s="879"/>
      <c r="F70" s="894"/>
      <c r="G70" s="642" t="s">
        <v>69</v>
      </c>
      <c r="H70" s="642" t="s">
        <v>69</v>
      </c>
      <c r="I70" s="895"/>
      <c r="J70" s="642" t="s">
        <v>69</v>
      </c>
      <c r="K70" s="924" t="s">
        <v>69</v>
      </c>
      <c r="O70" s="877"/>
      <c r="P70" s="866"/>
      <c r="Q70" s="896"/>
      <c r="R70" s="879"/>
      <c r="S70" s="894"/>
    </row>
    <row r="71" s="852" customFormat="1" spans="2:19">
      <c r="B71" s="877"/>
      <c r="C71" s="866"/>
      <c r="D71" s="896" t="s">
        <v>143</v>
      </c>
      <c r="E71" s="879"/>
      <c r="F71" s="894"/>
      <c r="G71" s="895"/>
      <c r="H71" s="895"/>
      <c r="I71" s="895"/>
      <c r="J71" s="895"/>
      <c r="K71" s="923"/>
      <c r="O71" s="877"/>
      <c r="P71" s="866"/>
      <c r="Q71" s="896"/>
      <c r="R71" s="879"/>
      <c r="S71" s="894"/>
    </row>
    <row r="72" s="852" customFormat="1" spans="2:19">
      <c r="B72" s="877"/>
      <c r="C72" s="866">
        <v>22</v>
      </c>
      <c r="D72" s="896" t="s">
        <v>144</v>
      </c>
      <c r="E72" s="879"/>
      <c r="F72" s="894"/>
      <c r="G72" s="895"/>
      <c r="H72" s="895"/>
      <c r="I72" s="895"/>
      <c r="J72" s="895"/>
      <c r="K72" s="923"/>
      <c r="O72" s="877"/>
      <c r="P72" s="866"/>
      <c r="Q72" s="896"/>
      <c r="R72" s="879"/>
      <c r="S72" s="897"/>
    </row>
    <row r="73" s="852" customFormat="1" spans="2:19">
      <c r="B73" s="877"/>
      <c r="C73" s="866"/>
      <c r="D73" s="896" t="s">
        <v>145</v>
      </c>
      <c r="E73" s="879"/>
      <c r="F73" s="894"/>
      <c r="G73" s="642" t="s">
        <v>69</v>
      </c>
      <c r="H73" s="642" t="s">
        <v>69</v>
      </c>
      <c r="I73" s="642" t="s">
        <v>69</v>
      </c>
      <c r="J73" s="642" t="s">
        <v>69</v>
      </c>
      <c r="K73" s="924" t="s">
        <v>69</v>
      </c>
      <c r="O73" s="877"/>
      <c r="P73" s="866"/>
      <c r="Q73" s="896"/>
      <c r="R73" s="879"/>
      <c r="S73" s="894"/>
    </row>
    <row r="74" s="852" customFormat="1" spans="2:19">
      <c r="B74" s="877"/>
      <c r="C74" s="866"/>
      <c r="D74" s="896" t="s">
        <v>146</v>
      </c>
      <c r="E74" s="879"/>
      <c r="F74" s="894"/>
      <c r="G74" s="895"/>
      <c r="H74" s="642" t="s">
        <v>69</v>
      </c>
      <c r="I74" s="895"/>
      <c r="J74" s="895"/>
      <c r="K74" s="923"/>
      <c r="O74" s="877"/>
      <c r="P74" s="866"/>
      <c r="Q74" s="896"/>
      <c r="R74" s="879"/>
      <c r="S74" s="894"/>
    </row>
    <row r="75" s="852" customFormat="1" spans="2:19">
      <c r="B75" s="877"/>
      <c r="C75" s="866"/>
      <c r="D75" s="896" t="s">
        <v>147</v>
      </c>
      <c r="E75" s="879"/>
      <c r="F75" s="894"/>
      <c r="G75" s="895"/>
      <c r="H75" s="642" t="s">
        <v>69</v>
      </c>
      <c r="I75" s="895"/>
      <c r="J75" s="895"/>
      <c r="K75" s="923"/>
      <c r="O75" s="877"/>
      <c r="P75" s="866"/>
      <c r="Q75" s="896"/>
      <c r="R75" s="879"/>
      <c r="S75" s="894"/>
    </row>
    <row r="76" s="852" customFormat="1" spans="2:19">
      <c r="B76" s="877"/>
      <c r="C76" s="866"/>
      <c r="D76" s="896" t="s">
        <v>148</v>
      </c>
      <c r="E76" s="879"/>
      <c r="F76" s="894"/>
      <c r="G76" s="642" t="s">
        <v>69</v>
      </c>
      <c r="H76" s="642" t="s">
        <v>69</v>
      </c>
      <c r="I76" s="642" t="s">
        <v>69</v>
      </c>
      <c r="J76" s="642" t="s">
        <v>69</v>
      </c>
      <c r="K76" s="924" t="s">
        <v>69</v>
      </c>
      <c r="O76" s="877"/>
      <c r="P76" s="866"/>
      <c r="Q76" s="896"/>
      <c r="R76" s="879"/>
      <c r="S76" s="894"/>
    </row>
    <row r="77" s="852" customFormat="1" ht="39" spans="2:19">
      <c r="B77" s="877"/>
      <c r="C77" s="866"/>
      <c r="D77" s="896" t="s">
        <v>149</v>
      </c>
      <c r="E77" s="879"/>
      <c r="F77" s="894"/>
      <c r="G77" s="642" t="s">
        <v>69</v>
      </c>
      <c r="H77" s="642" t="s">
        <v>69</v>
      </c>
      <c r="I77" s="642" t="s">
        <v>69</v>
      </c>
      <c r="J77" s="642" t="s">
        <v>69</v>
      </c>
      <c r="K77" s="924" t="s">
        <v>69</v>
      </c>
      <c r="O77" s="877"/>
      <c r="P77" s="866"/>
      <c r="Q77" s="896"/>
      <c r="R77" s="879"/>
      <c r="S77" s="894"/>
    </row>
    <row r="78" s="852" customFormat="1" ht="39" spans="2:19">
      <c r="B78" s="877"/>
      <c r="C78" s="866">
        <v>23</v>
      </c>
      <c r="D78" s="896" t="s">
        <v>150</v>
      </c>
      <c r="E78" s="879"/>
      <c r="F78" s="894"/>
      <c r="G78" s="895"/>
      <c r="H78" s="895"/>
      <c r="I78" s="895"/>
      <c r="J78" s="895"/>
      <c r="K78" s="923"/>
      <c r="O78" s="877"/>
      <c r="P78" s="866"/>
      <c r="Q78" s="896"/>
      <c r="R78" s="879"/>
      <c r="S78" s="894"/>
    </row>
    <row r="79" s="852" customFormat="1" ht="26" spans="2:19">
      <c r="B79" s="877"/>
      <c r="C79" s="866"/>
      <c r="D79" s="896" t="s">
        <v>151</v>
      </c>
      <c r="E79" s="879"/>
      <c r="F79" s="894"/>
      <c r="G79" s="895"/>
      <c r="H79" s="642" t="s">
        <v>69</v>
      </c>
      <c r="I79" s="895"/>
      <c r="J79" s="895"/>
      <c r="K79" s="924" t="s">
        <v>69</v>
      </c>
      <c r="O79" s="877"/>
      <c r="P79" s="866"/>
      <c r="Q79" s="896"/>
      <c r="R79" s="879"/>
      <c r="S79" s="894"/>
    </row>
    <row r="80" s="852" customFormat="1" ht="26" spans="2:19">
      <c r="B80" s="877"/>
      <c r="C80" s="866"/>
      <c r="D80" s="896" t="s">
        <v>152</v>
      </c>
      <c r="E80" s="879"/>
      <c r="F80" s="894"/>
      <c r="G80" s="895"/>
      <c r="H80" s="642" t="s">
        <v>69</v>
      </c>
      <c r="I80" s="895"/>
      <c r="J80" s="895"/>
      <c r="K80" s="924" t="s">
        <v>69</v>
      </c>
      <c r="O80" s="877"/>
      <c r="P80" s="866"/>
      <c r="Q80" s="896"/>
      <c r="R80" s="879"/>
      <c r="S80" s="894"/>
    </row>
    <row r="81" s="852" customFormat="1" ht="104" spans="2:19">
      <c r="B81" s="877"/>
      <c r="C81" s="866"/>
      <c r="D81" s="896" t="s">
        <v>153</v>
      </c>
      <c r="E81" s="879"/>
      <c r="F81" s="894"/>
      <c r="G81" s="895"/>
      <c r="H81" s="642" t="s">
        <v>69</v>
      </c>
      <c r="I81" s="895"/>
      <c r="J81" s="895"/>
      <c r="K81" s="924" t="s">
        <v>69</v>
      </c>
      <c r="O81" s="877"/>
      <c r="P81" s="866"/>
      <c r="Q81" s="896"/>
      <c r="R81" s="879"/>
      <c r="S81" s="894"/>
    </row>
    <row r="82" s="852" customFormat="1" ht="52" spans="2:19">
      <c r="B82" s="877"/>
      <c r="C82" s="866"/>
      <c r="D82" s="896" t="s">
        <v>154</v>
      </c>
      <c r="E82" s="879"/>
      <c r="F82" s="894"/>
      <c r="G82" s="895"/>
      <c r="H82" s="642" t="s">
        <v>69</v>
      </c>
      <c r="I82" s="895"/>
      <c r="J82" s="642" t="s">
        <v>69</v>
      </c>
      <c r="K82" s="924" t="s">
        <v>69</v>
      </c>
      <c r="O82" s="877"/>
      <c r="P82" s="866"/>
      <c r="Q82" s="896"/>
      <c r="R82" s="879"/>
      <c r="S82" s="894"/>
    </row>
    <row r="83" s="852" customFormat="1" ht="65" spans="2:19">
      <c r="B83" s="877"/>
      <c r="C83" s="866"/>
      <c r="D83" s="896" t="s">
        <v>155</v>
      </c>
      <c r="E83" s="879"/>
      <c r="F83" s="894"/>
      <c r="G83" s="642" t="s">
        <v>69</v>
      </c>
      <c r="H83" s="642" t="s">
        <v>69</v>
      </c>
      <c r="I83" s="642" t="s">
        <v>69</v>
      </c>
      <c r="J83" s="642" t="s">
        <v>69</v>
      </c>
      <c r="K83" s="924" t="s">
        <v>69</v>
      </c>
      <c r="O83" s="877"/>
      <c r="P83" s="866"/>
      <c r="Q83" s="896"/>
      <c r="R83" s="879"/>
      <c r="S83" s="894"/>
    </row>
    <row r="84" s="852" customFormat="1" ht="78" spans="2:19">
      <c r="B84" s="877"/>
      <c r="C84" s="866"/>
      <c r="D84" s="896" t="s">
        <v>156</v>
      </c>
      <c r="E84" s="879"/>
      <c r="F84" s="894"/>
      <c r="G84" s="642" t="s">
        <v>69</v>
      </c>
      <c r="H84" s="642" t="s">
        <v>69</v>
      </c>
      <c r="I84" s="642" t="s">
        <v>69</v>
      </c>
      <c r="J84" s="642" t="s">
        <v>69</v>
      </c>
      <c r="K84" s="924" t="s">
        <v>69</v>
      </c>
      <c r="O84" s="877"/>
      <c r="P84" s="866"/>
      <c r="Q84" s="896"/>
      <c r="R84" s="879"/>
      <c r="S84" s="894"/>
    </row>
    <row r="85" s="852" customFormat="1" spans="2:19">
      <c r="B85" s="877"/>
      <c r="C85" s="866"/>
      <c r="D85" s="893" t="s">
        <v>157</v>
      </c>
      <c r="E85" s="898"/>
      <c r="F85" s="894"/>
      <c r="G85" s="895"/>
      <c r="H85" s="895"/>
      <c r="I85" s="895"/>
      <c r="J85" s="895"/>
      <c r="K85" s="923"/>
      <c r="O85" s="877"/>
      <c r="P85" s="866"/>
      <c r="Q85" s="896"/>
      <c r="R85" s="879"/>
      <c r="S85" s="894"/>
    </row>
    <row r="86" s="852" customFormat="1" ht="20.25" customHeight="1" spans="2:19">
      <c r="B86" s="881" t="s">
        <v>74</v>
      </c>
      <c r="C86" s="882">
        <v>24</v>
      </c>
      <c r="D86" s="883" t="s">
        <v>158</v>
      </c>
      <c r="E86" s="884" t="s">
        <v>7</v>
      </c>
      <c r="F86" s="885" t="str">
        <f>目录!E9&amp;"、"&amp;目录!E17</f>
        <v>1010-3-3、1010-11</v>
      </c>
      <c r="G86" s="886"/>
      <c r="H86" s="886"/>
      <c r="I86" s="886"/>
      <c r="J86" s="914" t="s">
        <v>69</v>
      </c>
      <c r="K86" s="921"/>
      <c r="O86" s="877"/>
      <c r="P86" s="866"/>
      <c r="Q86" s="896"/>
      <c r="R86" s="879"/>
      <c r="S86" s="894"/>
    </row>
    <row r="87" s="852" customFormat="1" ht="20.25" customHeight="1" spans="2:19">
      <c r="B87" s="899"/>
      <c r="C87" s="900"/>
      <c r="D87" s="901"/>
      <c r="E87" s="902"/>
      <c r="F87" s="903"/>
      <c r="G87" s="904"/>
      <c r="H87" s="904"/>
      <c r="I87" s="904"/>
      <c r="J87" s="925"/>
      <c r="K87" s="926"/>
      <c r="O87" s="877"/>
      <c r="P87" s="866"/>
      <c r="Q87" s="896"/>
      <c r="R87" s="879"/>
      <c r="S87" s="894"/>
    </row>
    <row r="88" s="852" customFormat="1" ht="18" customHeight="1" spans="2:19">
      <c r="B88" s="887"/>
      <c r="C88" s="888"/>
      <c r="D88" s="889"/>
      <c r="E88" s="890"/>
      <c r="F88" s="891"/>
      <c r="G88" s="892"/>
      <c r="H88" s="892"/>
      <c r="I88" s="892"/>
      <c r="J88" s="910"/>
      <c r="K88" s="922"/>
      <c r="O88" s="877"/>
      <c r="P88" s="866"/>
      <c r="Q88" s="896"/>
      <c r="R88" s="879"/>
      <c r="S88" s="894"/>
    </row>
    <row r="89" s="852" customFormat="1" ht="57" customHeight="1" spans="2:19">
      <c r="B89" s="881" t="s">
        <v>107</v>
      </c>
      <c r="C89" s="882">
        <v>25</v>
      </c>
      <c r="D89" s="883" t="s">
        <v>159</v>
      </c>
      <c r="E89" s="884" t="s">
        <v>7</v>
      </c>
      <c r="F89" s="885" t="str">
        <f>目录!E14</f>
        <v>1010-8</v>
      </c>
      <c r="G89" s="914" t="s">
        <v>69</v>
      </c>
      <c r="H89" s="914" t="s">
        <v>69</v>
      </c>
      <c r="I89" s="886"/>
      <c r="J89" s="914" t="s">
        <v>69</v>
      </c>
      <c r="K89" s="921"/>
      <c r="O89" s="877"/>
      <c r="P89" s="866"/>
      <c r="Q89" s="893"/>
      <c r="R89" s="898"/>
      <c r="S89" s="894"/>
    </row>
    <row r="90" s="852" customFormat="1" ht="45.75" customHeight="1" spans="2:19">
      <c r="B90" s="899"/>
      <c r="C90" s="900"/>
      <c r="D90" s="901"/>
      <c r="E90" s="902"/>
      <c r="F90" s="903"/>
      <c r="G90" s="925"/>
      <c r="H90" s="925"/>
      <c r="I90" s="904"/>
      <c r="J90" s="925"/>
      <c r="K90" s="926"/>
      <c r="O90" s="881"/>
      <c r="P90" s="882"/>
      <c r="Q90" s="883"/>
      <c r="R90" s="884"/>
      <c r="S90" s="885"/>
    </row>
    <row r="91" s="852" customFormat="1" ht="60.6" customHeight="1" spans="2:19">
      <c r="B91" s="887"/>
      <c r="C91" s="888"/>
      <c r="D91" s="889"/>
      <c r="E91" s="890"/>
      <c r="F91" s="891"/>
      <c r="G91" s="910"/>
      <c r="H91" s="910"/>
      <c r="I91" s="892"/>
      <c r="J91" s="910"/>
      <c r="K91" s="922"/>
      <c r="O91" s="899"/>
      <c r="P91" s="900"/>
      <c r="Q91" s="901"/>
      <c r="R91" s="902"/>
      <c r="S91" s="903"/>
    </row>
    <row r="92" s="852" customFormat="1" ht="41.25" customHeight="1" spans="2:19">
      <c r="B92" s="877" t="s">
        <v>110</v>
      </c>
      <c r="C92" s="866">
        <v>26</v>
      </c>
      <c r="D92" s="893" t="s">
        <v>160</v>
      </c>
      <c r="E92" s="879" t="s">
        <v>7</v>
      </c>
      <c r="F92" s="897">
        <f>目录!E21</f>
        <v>1011</v>
      </c>
      <c r="G92" s="642" t="s">
        <v>69</v>
      </c>
      <c r="H92" s="895"/>
      <c r="I92" s="642" t="s">
        <v>69</v>
      </c>
      <c r="J92" s="895"/>
      <c r="K92" s="923"/>
      <c r="O92" s="887"/>
      <c r="P92" s="888"/>
      <c r="Q92" s="889"/>
      <c r="R92" s="890"/>
      <c r="S92" s="891"/>
    </row>
    <row r="93" s="852" customFormat="1" ht="17.25" customHeight="1" spans="2:19">
      <c r="B93" s="877"/>
      <c r="C93" s="866">
        <v>27</v>
      </c>
      <c r="D93" s="896" t="s">
        <v>161</v>
      </c>
      <c r="E93" s="879"/>
      <c r="F93" s="894"/>
      <c r="G93" s="642"/>
      <c r="H93" s="895"/>
      <c r="I93" s="642"/>
      <c r="J93" s="895"/>
      <c r="K93" s="923"/>
      <c r="O93" s="881"/>
      <c r="P93" s="882"/>
      <c r="Q93" s="883"/>
      <c r="R93" s="884"/>
      <c r="S93" s="885"/>
    </row>
    <row r="94" s="852" customFormat="1" ht="66" customHeight="1" spans="2:19">
      <c r="B94" s="877"/>
      <c r="C94" s="866"/>
      <c r="D94" s="896" t="s">
        <v>162</v>
      </c>
      <c r="E94" s="879"/>
      <c r="F94" s="894"/>
      <c r="G94" s="642" t="s">
        <v>69</v>
      </c>
      <c r="H94" s="642" t="s">
        <v>69</v>
      </c>
      <c r="I94" s="642" t="s">
        <v>69</v>
      </c>
      <c r="J94" s="642" t="s">
        <v>69</v>
      </c>
      <c r="K94" s="924" t="s">
        <v>69</v>
      </c>
      <c r="O94" s="899"/>
      <c r="P94" s="900"/>
      <c r="Q94" s="901"/>
      <c r="R94" s="902"/>
      <c r="S94" s="903"/>
    </row>
    <row r="95" s="852" customFormat="1" ht="54" customHeight="1" spans="2:19">
      <c r="B95" s="877"/>
      <c r="C95" s="866"/>
      <c r="D95" s="896" t="s">
        <v>163</v>
      </c>
      <c r="E95" s="879"/>
      <c r="F95" s="894"/>
      <c r="G95" s="642" t="s">
        <v>69</v>
      </c>
      <c r="H95" s="642" t="s">
        <v>69</v>
      </c>
      <c r="I95" s="642" t="s">
        <v>69</v>
      </c>
      <c r="J95" s="642" t="s">
        <v>69</v>
      </c>
      <c r="K95" s="924" t="s">
        <v>69</v>
      </c>
      <c r="O95" s="887"/>
      <c r="P95" s="888"/>
      <c r="Q95" s="889"/>
      <c r="R95" s="890"/>
      <c r="S95" s="891"/>
    </row>
    <row r="96" s="852" customFormat="1" ht="74.1" customHeight="1" spans="2:19">
      <c r="B96" s="877"/>
      <c r="C96" s="866"/>
      <c r="D96" s="896" t="s">
        <v>164</v>
      </c>
      <c r="E96" s="879"/>
      <c r="F96" s="894"/>
      <c r="G96" s="642" t="s">
        <v>69</v>
      </c>
      <c r="H96" s="642" t="s">
        <v>69</v>
      </c>
      <c r="I96" s="642" t="s">
        <v>69</v>
      </c>
      <c r="J96" s="642" t="s">
        <v>69</v>
      </c>
      <c r="K96" s="924" t="s">
        <v>69</v>
      </c>
      <c r="O96" s="877"/>
      <c r="P96" s="866"/>
      <c r="Q96" s="893"/>
      <c r="R96" s="879"/>
      <c r="S96" s="897"/>
    </row>
    <row r="97" s="852" customFormat="1" ht="32.25" customHeight="1" spans="2:19">
      <c r="B97" s="877" t="s">
        <v>72</v>
      </c>
      <c r="C97" s="866">
        <v>28</v>
      </c>
      <c r="D97" s="893" t="s">
        <v>165</v>
      </c>
      <c r="E97" s="879"/>
      <c r="F97" s="894"/>
      <c r="G97" s="895"/>
      <c r="H97" s="895"/>
      <c r="I97" s="642" t="s">
        <v>69</v>
      </c>
      <c r="J97" s="895"/>
      <c r="K97" s="923"/>
      <c r="O97" s="877"/>
      <c r="P97" s="866"/>
      <c r="Q97" s="896"/>
      <c r="R97" s="879"/>
      <c r="S97" s="894"/>
    </row>
    <row r="98" s="852" customFormat="1" ht="26" spans="2:19">
      <c r="B98" s="877" t="s">
        <v>166</v>
      </c>
      <c r="C98" s="866">
        <v>29</v>
      </c>
      <c r="D98" s="893" t="s">
        <v>167</v>
      </c>
      <c r="E98" s="879" t="s">
        <v>7</v>
      </c>
      <c r="F98" s="894" t="str">
        <f>目录!E16</f>
        <v>1010-10</v>
      </c>
      <c r="G98" s="895"/>
      <c r="H98" s="895"/>
      <c r="I98" s="642" t="s">
        <v>69</v>
      </c>
      <c r="J98" s="895"/>
      <c r="K98" s="924" t="s">
        <v>69</v>
      </c>
      <c r="O98" s="877"/>
      <c r="P98" s="866"/>
      <c r="Q98" s="896"/>
      <c r="R98" s="879"/>
      <c r="S98" s="894"/>
    </row>
    <row r="99" s="852" customFormat="1" ht="26" spans="2:19">
      <c r="B99" s="877" t="s">
        <v>70</v>
      </c>
      <c r="C99" s="866">
        <v>30</v>
      </c>
      <c r="D99" s="893" t="s">
        <v>168</v>
      </c>
      <c r="E99" s="879" t="s">
        <v>7</v>
      </c>
      <c r="F99" s="894" t="str">
        <f>目录!E13</f>
        <v>1010-7</v>
      </c>
      <c r="G99" s="642"/>
      <c r="H99" s="642" t="s">
        <v>69</v>
      </c>
      <c r="I99" s="895"/>
      <c r="J99" s="895"/>
      <c r="K99" s="923"/>
      <c r="O99" s="877"/>
      <c r="P99" s="866"/>
      <c r="Q99" s="896"/>
      <c r="R99" s="879"/>
      <c r="S99" s="894"/>
    </row>
    <row r="100" s="852" customFormat="1" spans="2:19">
      <c r="B100" s="877" t="s">
        <v>86</v>
      </c>
      <c r="C100" s="866">
        <v>31</v>
      </c>
      <c r="D100" s="893" t="s">
        <v>169</v>
      </c>
      <c r="E100" s="879" t="s">
        <v>7</v>
      </c>
      <c r="F100" s="894"/>
      <c r="G100" s="642" t="s">
        <v>69</v>
      </c>
      <c r="H100" s="642" t="s">
        <v>69</v>
      </c>
      <c r="I100" s="895"/>
      <c r="J100" s="642" t="s">
        <v>69</v>
      </c>
      <c r="K100" s="923"/>
      <c r="O100" s="877"/>
      <c r="P100" s="866"/>
      <c r="Q100" s="896"/>
      <c r="R100" s="879"/>
      <c r="S100" s="894"/>
    </row>
    <row r="101" s="852" customFormat="1" spans="2:19">
      <c r="B101" s="877"/>
      <c r="C101" s="866">
        <v>32</v>
      </c>
      <c r="D101" s="893" t="s">
        <v>170</v>
      </c>
      <c r="E101" s="879"/>
      <c r="F101" s="894"/>
      <c r="G101" s="642" t="s">
        <v>69</v>
      </c>
      <c r="H101" s="642" t="s">
        <v>69</v>
      </c>
      <c r="I101" s="895"/>
      <c r="J101" s="642" t="s">
        <v>69</v>
      </c>
      <c r="K101" s="923"/>
      <c r="O101" s="877"/>
      <c r="P101" s="866"/>
      <c r="Q101" s="893"/>
      <c r="R101" s="879"/>
      <c r="S101" s="894"/>
    </row>
    <row r="102" s="852" customFormat="1" ht="39.75" spans="2:19">
      <c r="B102" s="927" t="s">
        <v>76</v>
      </c>
      <c r="C102" s="928">
        <v>33</v>
      </c>
      <c r="D102" s="655" t="s">
        <v>171</v>
      </c>
      <c r="E102" s="929" t="s">
        <v>7</v>
      </c>
      <c r="F102" s="707"/>
      <c r="G102" s="930" t="s">
        <v>69</v>
      </c>
      <c r="H102" s="930" t="s">
        <v>69</v>
      </c>
      <c r="I102" s="929"/>
      <c r="J102" s="930" t="s">
        <v>69</v>
      </c>
      <c r="K102" s="940" t="s">
        <v>69</v>
      </c>
      <c r="O102" s="877"/>
      <c r="P102" s="866"/>
      <c r="Q102" s="893"/>
      <c r="R102" s="879"/>
      <c r="S102" s="894"/>
    </row>
    <row r="103" s="852" customFormat="1" ht="10.5" customHeight="1" spans="2:19">
      <c r="B103" s="931"/>
      <c r="C103" s="931"/>
      <c r="D103" s="932"/>
      <c r="E103" s="933"/>
      <c r="F103" s="934"/>
      <c r="G103" s="935"/>
      <c r="H103" s="935"/>
      <c r="I103" s="933"/>
      <c r="J103" s="935"/>
      <c r="K103" s="935"/>
      <c r="O103" s="877"/>
      <c r="P103" s="866"/>
      <c r="Q103" s="893"/>
      <c r="R103" s="879"/>
      <c r="S103" s="894"/>
    </row>
    <row r="104" spans="2:19">
      <c r="B104" s="936" t="s">
        <v>172</v>
      </c>
      <c r="C104" s="937"/>
      <c r="O104" s="877"/>
      <c r="P104" s="866"/>
      <c r="Q104" s="893"/>
      <c r="R104" s="879"/>
      <c r="S104" s="894"/>
    </row>
    <row r="105" ht="149.25" customHeight="1" spans="2:19">
      <c r="B105" s="938" t="s">
        <v>173</v>
      </c>
      <c r="C105" s="939"/>
      <c r="D105" s="939"/>
      <c r="E105" s="939"/>
      <c r="F105" s="939"/>
      <c r="G105" s="939"/>
      <c r="H105" s="939"/>
      <c r="I105" s="939"/>
      <c r="J105" s="939"/>
      <c r="K105" s="939"/>
      <c r="O105" s="877"/>
      <c r="P105" s="866"/>
      <c r="Q105" s="893"/>
      <c r="R105" s="879"/>
      <c r="S105" s="894"/>
    </row>
    <row r="106" ht="85.5" customHeight="1" spans="2:19">
      <c r="B106" s="938" t="s">
        <v>174</v>
      </c>
      <c r="C106" s="938"/>
      <c r="D106" s="938"/>
      <c r="E106" s="938"/>
      <c r="F106" s="938"/>
      <c r="G106" s="938"/>
      <c r="H106" s="938"/>
      <c r="I106" s="938"/>
      <c r="J106" s="938"/>
      <c r="K106" s="938"/>
      <c r="O106" s="927"/>
      <c r="P106" s="928"/>
      <c r="Q106" s="655"/>
      <c r="R106" s="929"/>
      <c r="S106" s="707"/>
    </row>
  </sheetData>
  <mergeCells count="88">
    <mergeCell ref="G4:K4"/>
    <mergeCell ref="B6:C6"/>
    <mergeCell ref="D6:F6"/>
    <mergeCell ref="B7:C7"/>
    <mergeCell ref="D7:F7"/>
    <mergeCell ref="B8:C8"/>
    <mergeCell ref="D8:F8"/>
    <mergeCell ref="B9:C9"/>
    <mergeCell ref="D9:F9"/>
    <mergeCell ref="B10:C10"/>
    <mergeCell ref="D10:F10"/>
    <mergeCell ref="B11:F11"/>
    <mergeCell ref="B105:K105"/>
    <mergeCell ref="B106:K106"/>
    <mergeCell ref="B14:B15"/>
    <mergeCell ref="B30:B32"/>
    <mergeCell ref="B63:B64"/>
    <mergeCell ref="B86:B88"/>
    <mergeCell ref="B89:B91"/>
    <mergeCell ref="C14:C15"/>
    <mergeCell ref="C30:C32"/>
    <mergeCell ref="C63:C64"/>
    <mergeCell ref="C86:C88"/>
    <mergeCell ref="C89:C91"/>
    <mergeCell ref="D14:D15"/>
    <mergeCell ref="D30:D32"/>
    <mergeCell ref="D63:D64"/>
    <mergeCell ref="D86:D88"/>
    <mergeCell ref="D89:D91"/>
    <mergeCell ref="E14:E15"/>
    <mergeCell ref="E30:E32"/>
    <mergeCell ref="E86:E88"/>
    <mergeCell ref="E89:E91"/>
    <mergeCell ref="F14:F15"/>
    <mergeCell ref="F30:F32"/>
    <mergeCell ref="F63:F64"/>
    <mergeCell ref="F86:F88"/>
    <mergeCell ref="F89:F91"/>
    <mergeCell ref="G14:G15"/>
    <mergeCell ref="G30:G32"/>
    <mergeCell ref="G63:G64"/>
    <mergeCell ref="G86:G88"/>
    <mergeCell ref="G89:G91"/>
    <mergeCell ref="H14:H15"/>
    <mergeCell ref="H30:H32"/>
    <mergeCell ref="H63:H64"/>
    <mergeCell ref="H86:H88"/>
    <mergeCell ref="H89:H91"/>
    <mergeCell ref="I14:I15"/>
    <mergeCell ref="I30:I32"/>
    <mergeCell ref="I63:I64"/>
    <mergeCell ref="I86:I88"/>
    <mergeCell ref="I89:I91"/>
    <mergeCell ref="J14:J15"/>
    <mergeCell ref="J30:J32"/>
    <mergeCell ref="J63:J64"/>
    <mergeCell ref="J86:J88"/>
    <mergeCell ref="J89:J91"/>
    <mergeCell ref="K14:K15"/>
    <mergeCell ref="K30:K32"/>
    <mergeCell ref="K63:K64"/>
    <mergeCell ref="K86:K88"/>
    <mergeCell ref="K89:K91"/>
    <mergeCell ref="O18:O19"/>
    <mergeCell ref="O34:O36"/>
    <mergeCell ref="O67:O68"/>
    <mergeCell ref="O90:O92"/>
    <mergeCell ref="O93:O95"/>
    <mergeCell ref="P18:P19"/>
    <mergeCell ref="P34:P36"/>
    <mergeCell ref="P67:P68"/>
    <mergeCell ref="P90:P92"/>
    <mergeCell ref="P93:P95"/>
    <mergeCell ref="Q18:Q19"/>
    <mergeCell ref="Q34:Q36"/>
    <mergeCell ref="Q67:Q68"/>
    <mergeCell ref="Q90:Q92"/>
    <mergeCell ref="Q93:Q95"/>
    <mergeCell ref="R18:R19"/>
    <mergeCell ref="R34:R36"/>
    <mergeCell ref="R90:R92"/>
    <mergeCell ref="R93:R95"/>
    <mergeCell ref="S18:S19"/>
    <mergeCell ref="S34:S36"/>
    <mergeCell ref="S67:S68"/>
    <mergeCell ref="S90:S92"/>
    <mergeCell ref="S93:S95"/>
    <mergeCell ref="B4:F5"/>
  </mergeCells>
  <dataValidations count="2">
    <dataValidation type="list" allowBlank="1" showInputMessage="1" showErrorMessage="1" sqref="J14 J30 G63:H63 J63 J86 J89 I63:I64 I86:I103 J16:J28 J33:J40 J92:J103 K14:K28 K30:K40 K63:K64 K86:K103 G14:I28 G30:I40 G6:K10 G92:H103 G65:K84 G86:H89 G41:K62">
      <formula1>"√"</formula1>
    </dataValidation>
    <dataValidation type="list" allowBlank="1" showInputMessage="1" showErrorMessage="1" sqref="E13:E103">
      <formula1>"是,否,不适用"</formula1>
    </dataValidation>
  </dataValidations>
  <hyperlinks>
    <hyperlink ref="A1" location="'目录'!C4" display="&lt;&lt;"/>
  </hyperlinks>
  <printOptions horizontalCentered="1"/>
  <pageMargins left="0.393700787401575" right="0.393700787401575" top="0.984251968503937" bottom="0.78740157480315" header="0.511811023622047" footer="0.511811023622047"/>
  <pageSetup paperSize="9" scale="65" orientation="portrait" blackAndWhite="1"/>
  <headerFooter alignWithMargins="0"/>
  <rowBreaks count="3" manualBreakCount="3">
    <brk id="37" max="10" man="1"/>
    <brk id="47" max="10" man="1"/>
    <brk id="83" max="10"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L50"/>
  <sheetViews>
    <sheetView showGridLines="0" workbookViewId="0">
      <pane xSplit="3" ySplit="6" topLeftCell="D19" activePane="bottomRight" state="frozen"/>
      <selection/>
      <selection pane="topRight"/>
      <selection pane="bottomLeft"/>
      <selection pane="bottomRight" activeCell="H12" sqref="H12"/>
    </sheetView>
  </sheetViews>
  <sheetFormatPr defaultColWidth="9" defaultRowHeight="15"/>
  <cols>
    <col min="1" max="1" width="2.6" style="522" customWidth="1"/>
    <col min="2" max="2" width="9" style="522"/>
    <col min="3" max="3" width="13.2" style="452" customWidth="1"/>
    <col min="4" max="4" width="13.2" style="522" customWidth="1"/>
    <col min="5" max="7" width="12" style="522" customWidth="1"/>
    <col min="8" max="9" width="11.1" style="522" customWidth="1"/>
    <col min="10" max="10" width="10.6" style="452" customWidth="1"/>
    <col min="11" max="16384" width="9" style="522"/>
  </cols>
  <sheetData>
    <row r="1" s="242" customFormat="1" ht="28.5" customHeight="1" spans="1:10">
      <c r="A1" s="65" t="s">
        <v>58</v>
      </c>
      <c r="B1" s="818" t="s">
        <v>15</v>
      </c>
      <c r="C1" s="819"/>
      <c r="D1" s="820"/>
      <c r="E1" s="820"/>
      <c r="F1" s="820"/>
      <c r="G1" s="820"/>
      <c r="H1" s="820"/>
      <c r="I1" s="846" t="s">
        <v>59</v>
      </c>
      <c r="J1" s="847" t="str">
        <f>目录!E5</f>
        <v>1010-1</v>
      </c>
    </row>
    <row r="2" s="242" customFormat="1" ht="26.1" customHeight="1" spans="2:12">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821"/>
      <c r="D2" s="822"/>
      <c r="E2" s="822"/>
      <c r="F2" s="252"/>
      <c r="G2" s="252"/>
      <c r="H2" s="250"/>
      <c r="I2" s="822"/>
      <c r="J2" s="821"/>
      <c r="K2" s="846"/>
      <c r="L2" s="848"/>
    </row>
    <row r="3" s="242" customFormat="1" ht="12" customHeight="1" spans="3:10">
      <c r="C3" s="823"/>
      <c r="J3" s="823"/>
    </row>
    <row r="4" spans="2:10">
      <c r="B4" s="735" t="s">
        <v>175</v>
      </c>
      <c r="C4" s="736" t="s">
        <v>176</v>
      </c>
      <c r="D4" s="765" t="s">
        <v>177</v>
      </c>
      <c r="E4" s="765" t="s">
        <v>178</v>
      </c>
      <c r="F4" s="765" t="s">
        <v>179</v>
      </c>
      <c r="G4" s="824" t="s">
        <v>180</v>
      </c>
      <c r="H4" s="825" t="s">
        <v>181</v>
      </c>
      <c r="I4" s="825"/>
      <c r="J4" s="749" t="s">
        <v>182</v>
      </c>
    </row>
    <row r="5" spans="2:10">
      <c r="B5" s="737"/>
      <c r="C5" s="738"/>
      <c r="D5" s="766"/>
      <c r="E5" s="766"/>
      <c r="F5" s="766"/>
      <c r="G5" s="826"/>
      <c r="H5" s="827" t="s">
        <v>183</v>
      </c>
      <c r="I5" s="827" t="s">
        <v>184</v>
      </c>
      <c r="J5" s="751"/>
    </row>
    <row r="6" spans="2:10">
      <c r="B6" s="828" t="s">
        <v>185</v>
      </c>
      <c r="C6" s="829"/>
      <c r="D6" s="830">
        <f>IF(ROUND((H6-I6),2)&lt;&gt;0,"调整分录不平",ROUND((H6-I6),2))</f>
        <v>0</v>
      </c>
      <c r="E6" s="831"/>
      <c r="F6" s="832"/>
      <c r="G6" s="833"/>
      <c r="H6" s="834">
        <f>SUM(H7:H50)</f>
        <v>0</v>
      </c>
      <c r="I6" s="834">
        <f>SUM(I7:I50)</f>
        <v>0</v>
      </c>
      <c r="J6" s="849"/>
    </row>
    <row r="7" spans="2:10">
      <c r="B7" s="835"/>
      <c r="C7" s="836"/>
      <c r="D7" s="837"/>
      <c r="E7" s="837"/>
      <c r="F7" s="837"/>
      <c r="G7" s="838"/>
      <c r="H7" s="839"/>
      <c r="I7" s="839"/>
      <c r="J7" s="850"/>
    </row>
    <row r="8" spans="2:10">
      <c r="B8" s="835"/>
      <c r="C8" s="836"/>
      <c r="D8" s="837"/>
      <c r="E8" s="837"/>
      <c r="F8" s="837"/>
      <c r="G8" s="838"/>
      <c r="H8" s="839"/>
      <c r="I8" s="839"/>
      <c r="J8" s="850"/>
    </row>
    <row r="9" spans="2:10">
      <c r="B9" s="835"/>
      <c r="C9" s="836"/>
      <c r="D9" s="837"/>
      <c r="E9" s="837"/>
      <c r="F9" s="837"/>
      <c r="G9" s="838"/>
      <c r="H9" s="839"/>
      <c r="I9" s="839"/>
      <c r="J9" s="850"/>
    </row>
    <row r="10" spans="2:10">
      <c r="B10" s="835"/>
      <c r="C10" s="836"/>
      <c r="D10" s="837"/>
      <c r="E10" s="837"/>
      <c r="F10" s="837"/>
      <c r="G10" s="838"/>
      <c r="H10" s="839"/>
      <c r="I10" s="839"/>
      <c r="J10" s="850"/>
    </row>
    <row r="11" spans="2:10">
      <c r="B11" s="835"/>
      <c r="C11" s="836"/>
      <c r="D11" s="837"/>
      <c r="E11" s="837"/>
      <c r="F11" s="837"/>
      <c r="G11" s="838"/>
      <c r="H11" s="839"/>
      <c r="I11" s="839"/>
      <c r="J11" s="850"/>
    </row>
    <row r="12" spans="2:10">
      <c r="B12" s="835"/>
      <c r="C12" s="836"/>
      <c r="D12" s="837"/>
      <c r="E12" s="837"/>
      <c r="F12" s="837"/>
      <c r="G12" s="838"/>
      <c r="H12" s="839"/>
      <c r="I12" s="839"/>
      <c r="J12" s="850"/>
    </row>
    <row r="13" spans="2:10">
      <c r="B13" s="835"/>
      <c r="C13" s="836"/>
      <c r="D13" s="837"/>
      <c r="E13" s="837"/>
      <c r="F13" s="837"/>
      <c r="G13" s="838"/>
      <c r="H13" s="839"/>
      <c r="I13" s="839"/>
      <c r="J13" s="850"/>
    </row>
    <row r="14" spans="2:10">
      <c r="B14" s="835"/>
      <c r="C14" s="836"/>
      <c r="D14" s="837"/>
      <c r="E14" s="837"/>
      <c r="F14" s="837"/>
      <c r="G14" s="838"/>
      <c r="H14" s="839"/>
      <c r="I14" s="839"/>
      <c r="J14" s="850"/>
    </row>
    <row r="15" spans="2:10">
      <c r="B15" s="835"/>
      <c r="C15" s="836"/>
      <c r="D15" s="837"/>
      <c r="E15" s="837"/>
      <c r="F15" s="837"/>
      <c r="G15" s="838"/>
      <c r="H15" s="839"/>
      <c r="I15" s="839"/>
      <c r="J15" s="850"/>
    </row>
    <row r="16" spans="2:10">
      <c r="B16" s="835"/>
      <c r="C16" s="836"/>
      <c r="D16" s="837"/>
      <c r="E16" s="837"/>
      <c r="F16" s="837"/>
      <c r="G16" s="838"/>
      <c r="H16" s="839"/>
      <c r="I16" s="839"/>
      <c r="J16" s="850"/>
    </row>
    <row r="17" spans="2:10">
      <c r="B17" s="835"/>
      <c r="C17" s="836"/>
      <c r="D17" s="837"/>
      <c r="E17" s="837"/>
      <c r="F17" s="837"/>
      <c r="G17" s="838"/>
      <c r="H17" s="839"/>
      <c r="I17" s="839"/>
      <c r="J17" s="850"/>
    </row>
    <row r="18" spans="2:10">
      <c r="B18" s="835"/>
      <c r="C18" s="836"/>
      <c r="D18" s="837"/>
      <c r="E18" s="837"/>
      <c r="F18" s="837"/>
      <c r="G18" s="838"/>
      <c r="H18" s="839"/>
      <c r="I18" s="839"/>
      <c r="J18" s="850"/>
    </row>
    <row r="19" spans="2:10">
      <c r="B19" s="835"/>
      <c r="C19" s="836"/>
      <c r="D19" s="837"/>
      <c r="E19" s="837"/>
      <c r="F19" s="837"/>
      <c r="G19" s="838"/>
      <c r="H19" s="839"/>
      <c r="I19" s="839"/>
      <c r="J19" s="850"/>
    </row>
    <row r="20" spans="2:10">
      <c r="B20" s="835"/>
      <c r="C20" s="836"/>
      <c r="D20" s="837"/>
      <c r="E20" s="837"/>
      <c r="F20" s="837"/>
      <c r="G20" s="838"/>
      <c r="H20" s="839"/>
      <c r="I20" s="839"/>
      <c r="J20" s="850"/>
    </row>
    <row r="21" spans="2:10">
      <c r="B21" s="835"/>
      <c r="C21" s="836"/>
      <c r="D21" s="837"/>
      <c r="E21" s="837"/>
      <c r="F21" s="837"/>
      <c r="G21" s="838"/>
      <c r="H21" s="839"/>
      <c r="I21" s="839"/>
      <c r="J21" s="850"/>
    </row>
    <row r="22" spans="2:10">
      <c r="B22" s="835"/>
      <c r="C22" s="836"/>
      <c r="D22" s="837"/>
      <c r="E22" s="837"/>
      <c r="F22" s="837"/>
      <c r="G22" s="838"/>
      <c r="H22" s="839"/>
      <c r="I22" s="839"/>
      <c r="J22" s="850"/>
    </row>
    <row r="23" spans="2:10">
      <c r="B23" s="835"/>
      <c r="C23" s="836"/>
      <c r="D23" s="837"/>
      <c r="E23" s="837"/>
      <c r="F23" s="837"/>
      <c r="G23" s="838"/>
      <c r="H23" s="839"/>
      <c r="I23" s="839"/>
      <c r="J23" s="850"/>
    </row>
    <row r="24" spans="2:10">
      <c r="B24" s="835"/>
      <c r="C24" s="836"/>
      <c r="D24" s="837"/>
      <c r="E24" s="837"/>
      <c r="F24" s="837"/>
      <c r="G24" s="838"/>
      <c r="H24" s="839"/>
      <c r="I24" s="839"/>
      <c r="J24" s="850"/>
    </row>
    <row r="25" spans="2:10">
      <c r="B25" s="835"/>
      <c r="C25" s="836"/>
      <c r="D25" s="837"/>
      <c r="E25" s="837"/>
      <c r="F25" s="837"/>
      <c r="G25" s="838"/>
      <c r="H25" s="839"/>
      <c r="I25" s="839"/>
      <c r="J25" s="850"/>
    </row>
    <row r="26" spans="2:10">
      <c r="B26" s="835"/>
      <c r="C26" s="836"/>
      <c r="D26" s="837"/>
      <c r="E26" s="837"/>
      <c r="F26" s="837"/>
      <c r="G26" s="838"/>
      <c r="H26" s="839"/>
      <c r="I26" s="839"/>
      <c r="J26" s="850"/>
    </row>
    <row r="27" spans="2:10">
      <c r="B27" s="835"/>
      <c r="C27" s="836"/>
      <c r="D27" s="837"/>
      <c r="E27" s="837"/>
      <c r="F27" s="837"/>
      <c r="G27" s="838"/>
      <c r="H27" s="839"/>
      <c r="I27" s="839"/>
      <c r="J27" s="850"/>
    </row>
    <row r="28" spans="2:10">
      <c r="B28" s="835"/>
      <c r="C28" s="836"/>
      <c r="D28" s="837"/>
      <c r="E28" s="837"/>
      <c r="F28" s="837"/>
      <c r="G28" s="838"/>
      <c r="H28" s="839"/>
      <c r="I28" s="839"/>
      <c r="J28" s="850"/>
    </row>
    <row r="29" spans="2:10">
      <c r="B29" s="835"/>
      <c r="C29" s="836"/>
      <c r="D29" s="837"/>
      <c r="E29" s="837"/>
      <c r="F29" s="837"/>
      <c r="G29" s="838"/>
      <c r="H29" s="839"/>
      <c r="I29" s="839"/>
      <c r="J29" s="850"/>
    </row>
    <row r="30" spans="2:10">
      <c r="B30" s="835"/>
      <c r="C30" s="836"/>
      <c r="D30" s="837"/>
      <c r="E30" s="837"/>
      <c r="F30" s="837"/>
      <c r="G30" s="838"/>
      <c r="H30" s="839"/>
      <c r="I30" s="839"/>
      <c r="J30" s="850"/>
    </row>
    <row r="31" spans="2:10">
      <c r="B31" s="835"/>
      <c r="C31" s="836"/>
      <c r="D31" s="837"/>
      <c r="E31" s="837"/>
      <c r="F31" s="837"/>
      <c r="G31" s="838"/>
      <c r="H31" s="839"/>
      <c r="I31" s="839"/>
      <c r="J31" s="850"/>
    </row>
    <row r="32" spans="2:10">
      <c r="B32" s="835"/>
      <c r="C32" s="836"/>
      <c r="D32" s="837"/>
      <c r="E32" s="837"/>
      <c r="F32" s="837"/>
      <c r="G32" s="838"/>
      <c r="H32" s="839"/>
      <c r="I32" s="839"/>
      <c r="J32" s="850"/>
    </row>
    <row r="33" spans="2:10">
      <c r="B33" s="835"/>
      <c r="C33" s="836"/>
      <c r="D33" s="837"/>
      <c r="E33" s="837"/>
      <c r="F33" s="837"/>
      <c r="G33" s="838"/>
      <c r="H33" s="839"/>
      <c r="I33" s="839"/>
      <c r="J33" s="850"/>
    </row>
    <row r="34" spans="2:10">
      <c r="B34" s="835"/>
      <c r="C34" s="836"/>
      <c r="D34" s="837"/>
      <c r="E34" s="837"/>
      <c r="F34" s="837"/>
      <c r="G34" s="838"/>
      <c r="H34" s="839"/>
      <c r="I34" s="839"/>
      <c r="J34" s="850"/>
    </row>
    <row r="35" spans="2:10">
      <c r="B35" s="835"/>
      <c r="C35" s="836"/>
      <c r="D35" s="837"/>
      <c r="E35" s="837"/>
      <c r="F35" s="837"/>
      <c r="G35" s="838"/>
      <c r="H35" s="839"/>
      <c r="I35" s="839"/>
      <c r="J35" s="850"/>
    </row>
    <row r="36" spans="2:10">
      <c r="B36" s="835"/>
      <c r="C36" s="836"/>
      <c r="D36" s="837"/>
      <c r="E36" s="837"/>
      <c r="F36" s="837"/>
      <c r="G36" s="838"/>
      <c r="H36" s="839"/>
      <c r="I36" s="839"/>
      <c r="J36" s="850"/>
    </row>
    <row r="37" spans="2:10">
      <c r="B37" s="835"/>
      <c r="C37" s="836"/>
      <c r="D37" s="837"/>
      <c r="E37" s="837"/>
      <c r="F37" s="837"/>
      <c r="G37" s="838"/>
      <c r="H37" s="839"/>
      <c r="I37" s="839"/>
      <c r="J37" s="850"/>
    </row>
    <row r="38" spans="2:10">
      <c r="B38" s="835"/>
      <c r="C38" s="836"/>
      <c r="D38" s="837"/>
      <c r="E38" s="837"/>
      <c r="F38" s="837"/>
      <c r="G38" s="838"/>
      <c r="H38" s="839"/>
      <c r="I38" s="839"/>
      <c r="J38" s="850"/>
    </row>
    <row r="39" spans="2:10">
      <c r="B39" s="835"/>
      <c r="C39" s="836"/>
      <c r="D39" s="837"/>
      <c r="E39" s="837"/>
      <c r="F39" s="837"/>
      <c r="G39" s="838"/>
      <c r="H39" s="839"/>
      <c r="I39" s="839"/>
      <c r="J39" s="850"/>
    </row>
    <row r="40" spans="2:10">
      <c r="B40" s="835"/>
      <c r="C40" s="836"/>
      <c r="D40" s="837"/>
      <c r="E40" s="837"/>
      <c r="F40" s="837"/>
      <c r="G40" s="838"/>
      <c r="H40" s="839"/>
      <c r="I40" s="839"/>
      <c r="J40" s="850"/>
    </row>
    <row r="41" spans="2:10">
      <c r="B41" s="835"/>
      <c r="C41" s="836"/>
      <c r="D41" s="837"/>
      <c r="E41" s="837"/>
      <c r="F41" s="837"/>
      <c r="G41" s="838"/>
      <c r="H41" s="839"/>
      <c r="I41" s="839"/>
      <c r="J41" s="850"/>
    </row>
    <row r="42" spans="2:10">
      <c r="B42" s="835"/>
      <c r="C42" s="836"/>
      <c r="D42" s="837"/>
      <c r="E42" s="837"/>
      <c r="F42" s="837"/>
      <c r="G42" s="838"/>
      <c r="H42" s="839"/>
      <c r="I42" s="839"/>
      <c r="J42" s="850"/>
    </row>
    <row r="43" spans="2:10">
      <c r="B43" s="835"/>
      <c r="C43" s="836"/>
      <c r="D43" s="837"/>
      <c r="E43" s="837"/>
      <c r="F43" s="837"/>
      <c r="G43" s="838"/>
      <c r="H43" s="839"/>
      <c r="I43" s="839"/>
      <c r="J43" s="850"/>
    </row>
    <row r="44" spans="2:10">
      <c r="B44" s="835"/>
      <c r="C44" s="836"/>
      <c r="D44" s="837"/>
      <c r="E44" s="837"/>
      <c r="F44" s="837"/>
      <c r="G44" s="838"/>
      <c r="H44" s="839"/>
      <c r="I44" s="839"/>
      <c r="J44" s="850"/>
    </row>
    <row r="45" spans="2:10">
      <c r="B45" s="835"/>
      <c r="C45" s="836"/>
      <c r="D45" s="837"/>
      <c r="E45" s="837"/>
      <c r="F45" s="837"/>
      <c r="G45" s="838"/>
      <c r="H45" s="839"/>
      <c r="I45" s="839"/>
      <c r="J45" s="850"/>
    </row>
    <row r="46" spans="2:10">
      <c r="B46" s="835"/>
      <c r="C46" s="836"/>
      <c r="D46" s="837"/>
      <c r="E46" s="837"/>
      <c r="F46" s="837"/>
      <c r="G46" s="838"/>
      <c r="H46" s="839"/>
      <c r="I46" s="839"/>
      <c r="J46" s="850"/>
    </row>
    <row r="47" spans="2:10">
      <c r="B47" s="835"/>
      <c r="C47" s="836"/>
      <c r="D47" s="837"/>
      <c r="E47" s="837"/>
      <c r="F47" s="837"/>
      <c r="G47" s="838"/>
      <c r="H47" s="839"/>
      <c r="I47" s="839"/>
      <c r="J47" s="850"/>
    </row>
    <row r="48" spans="2:10">
      <c r="B48" s="835"/>
      <c r="C48" s="836"/>
      <c r="D48" s="837"/>
      <c r="E48" s="837"/>
      <c r="F48" s="837"/>
      <c r="G48" s="838"/>
      <c r="H48" s="839"/>
      <c r="I48" s="839"/>
      <c r="J48" s="850"/>
    </row>
    <row r="49" spans="2:10">
      <c r="B49" s="835"/>
      <c r="C49" s="836"/>
      <c r="D49" s="837"/>
      <c r="E49" s="837"/>
      <c r="F49" s="837"/>
      <c r="G49" s="838"/>
      <c r="H49" s="839"/>
      <c r="I49" s="839"/>
      <c r="J49" s="850"/>
    </row>
    <row r="50" ht="15.75" spans="1:10">
      <c r="A50" s="840"/>
      <c r="B50" s="841"/>
      <c r="C50" s="842"/>
      <c r="D50" s="843"/>
      <c r="E50" s="843"/>
      <c r="F50" s="843"/>
      <c r="G50" s="844"/>
      <c r="H50" s="845"/>
      <c r="I50" s="845"/>
      <c r="J50" s="851"/>
    </row>
  </sheetData>
  <mergeCells count="9">
    <mergeCell ref="H4:I4"/>
    <mergeCell ref="D6:F6"/>
    <mergeCell ref="B4:B5"/>
    <mergeCell ref="C4:C5"/>
    <mergeCell ref="D4:D5"/>
    <mergeCell ref="E4:E5"/>
    <mergeCell ref="F4:F5"/>
    <mergeCell ref="G4:G5"/>
    <mergeCell ref="J4:J5"/>
  </mergeCells>
  <conditionalFormatting sqref="D6:F6">
    <cfRule type="expression" dxfId="0" priority="1">
      <formula>ROUND((H6-I6),2)&lt;&gt;0</formula>
    </cfRule>
  </conditionalFormatting>
  <dataValidations count="3">
    <dataValidation type="list" allowBlank="1" showInputMessage="1" showErrorMessage="1" sqref="D7:D50">
      <formula1>科目表</formula1>
    </dataValidation>
    <dataValidation type="list" allowBlank="1" showInputMessage="1" showErrorMessage="1" sqref="E7:E50">
      <formula1>二级科目</formula1>
    </dataValidation>
    <dataValidation type="list" allowBlank="1" showInputMessage="1" showErrorMessage="1" sqref="F7:F50">
      <formula1>三级科目</formula1>
    </dataValidation>
  </dataValidations>
  <hyperlinks>
    <hyperlink ref="A1" location="'目录'!C5" display="&lt;&lt;"/>
  </hyperlinks>
  <printOptions horizontalCentered="1"/>
  <pageMargins left="0.590551181102362" right="0.590551181102362" top="0.984251968503937" bottom="0.984251968503937" header="0.511811023622047" footer="0.511811023622047"/>
  <pageSetup paperSize="9" scale="81" orientation="portrait" blackAndWhit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92D050"/>
  </sheetPr>
  <dimension ref="A1:L64"/>
  <sheetViews>
    <sheetView showGridLines="0" showZeros="0" workbookViewId="0">
      <pane ySplit="4" topLeftCell="A5" activePane="bottomLeft" state="frozen"/>
      <selection/>
      <selection pane="bottomLeft" activeCell="F7" sqref="F7"/>
    </sheetView>
  </sheetViews>
  <sheetFormatPr defaultColWidth="9" defaultRowHeight="15" customHeight="1"/>
  <cols>
    <col min="1" max="1" width="2.6" style="621" customWidth="1"/>
    <col min="2" max="2" width="14.6" style="621" customWidth="1"/>
    <col min="3" max="6" width="13.1" style="621" customWidth="1"/>
    <col min="7" max="7" width="13.9" style="621" customWidth="1"/>
    <col min="8" max="8" width="9" style="621" customWidth="1"/>
    <col min="9" max="9" width="9" style="621"/>
    <col min="10" max="10" width="10" style="621" customWidth="1"/>
    <col min="11" max="16384" width="9" style="621"/>
  </cols>
  <sheetData>
    <row r="1" s="140" customFormat="1" ht="28.5" customHeight="1" spans="1:11">
      <c r="A1" s="65" t="s">
        <v>58</v>
      </c>
      <c r="B1" s="782" t="s">
        <v>23</v>
      </c>
      <c r="C1" s="783"/>
      <c r="D1" s="783"/>
      <c r="E1" s="783"/>
      <c r="F1" s="783"/>
      <c r="G1" s="784" t="s">
        <v>59</v>
      </c>
      <c r="H1" s="785" t="str">
        <f>目录!E6</f>
        <v>1010-2</v>
      </c>
      <c r="I1" s="783"/>
      <c r="K1" s="790"/>
    </row>
    <row r="2" s="242" customFormat="1" ht="26.4" customHeight="1" spans="2:11">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786"/>
      <c r="D2" s="786"/>
      <c r="E2" s="786"/>
      <c r="F2" s="787"/>
      <c r="G2" s="784"/>
      <c r="H2" s="786"/>
      <c r="J2" s="783"/>
      <c r="K2" s="783"/>
    </row>
    <row r="3" s="242" customFormat="1" ht="24" customHeight="1" spans="2:12">
      <c r="B3" s="788"/>
      <c r="C3" s="789"/>
      <c r="D3" s="789"/>
      <c r="E3" s="789"/>
      <c r="F3" s="789"/>
      <c r="G3" s="790"/>
      <c r="H3" s="787"/>
      <c r="I3" s="817"/>
      <c r="J3" s="783"/>
      <c r="K3" s="783"/>
      <c r="L3" s="783"/>
    </row>
    <row r="4" s="193" customFormat="1" ht="33" customHeight="1" spans="1:8">
      <c r="A4" s="193" t="str">
        <f t="array" ref="A4:A8">""</f>
        <v/>
      </c>
      <c r="B4" s="791" t="s">
        <v>186</v>
      </c>
      <c r="C4" s="792" t="s">
        <v>187</v>
      </c>
      <c r="D4" s="792" t="s">
        <v>188</v>
      </c>
      <c r="E4" s="792" t="s">
        <v>189</v>
      </c>
      <c r="F4" s="792" t="s">
        <v>190</v>
      </c>
      <c r="G4" s="792" t="s">
        <v>191</v>
      </c>
      <c r="H4" s="793" t="s">
        <v>192</v>
      </c>
    </row>
    <row r="5" s="193" customFormat="1" ht="21" customHeight="1" spans="1:10">
      <c r="A5" s="193" t="str">
        <v/>
      </c>
      <c r="B5" s="794" t="s">
        <v>193</v>
      </c>
      <c r="C5" s="222">
        <f>'1010-3-1'!H16</f>
        <v>0</v>
      </c>
      <c r="D5" s="222">
        <f>SUMIF('1010-1'!$D$7:$D$50,B5,'1010-1'!$H$7:$H$50)-SUMIF('1010-1'!$D$7:$D$50,B5,'1010-1'!$I$7:$I$50)</f>
        <v>0</v>
      </c>
      <c r="E5" s="222">
        <f>C5+D5</f>
        <v>0</v>
      </c>
      <c r="F5" s="222">
        <f>'1010-3-1'!AM5</f>
        <v>0</v>
      </c>
      <c r="G5" s="222">
        <f>E5-F5</f>
        <v>0</v>
      </c>
      <c r="H5" s="795" t="str">
        <f>IFERROR(IF(F5&lt;0,"不适用",G5/F5),"")</f>
        <v/>
      </c>
      <c r="J5" s="342"/>
    </row>
    <row r="6" s="193" customFormat="1" ht="21" customHeight="1" spans="1:8">
      <c r="A6" s="193" t="str">
        <v/>
      </c>
      <c r="B6" s="794" t="s">
        <v>194</v>
      </c>
      <c r="C6" s="796">
        <f>'1010-3-2'!O26</f>
        <v>215947.63</v>
      </c>
      <c r="D6" s="222">
        <f>SUMIF('1010-1'!$D$7:$D$50,B6,'1010-1'!$H$7:$H$50)-SUMIF('1010-1'!$D$7:$D$50,B6,'1010-1'!$I$7:$I$50)</f>
        <v>0</v>
      </c>
      <c r="E6" s="222">
        <f>C6+D6</f>
        <v>215947.63</v>
      </c>
      <c r="F6" s="796">
        <f>'1010-3-2'!AM5</f>
        <v>48719.79</v>
      </c>
      <c r="G6" s="222">
        <f>E6-F6</f>
        <v>167227.84</v>
      </c>
      <c r="H6" s="795">
        <f>IFERROR(IF(F6&lt;0,"不适用",G6/F6),"")</f>
        <v>3.43244172439988</v>
      </c>
    </row>
    <row r="7" s="193" customFormat="1" ht="21" customHeight="1" spans="1:8">
      <c r="A7" s="193" t="str">
        <v/>
      </c>
      <c r="B7" s="794" t="s">
        <v>195</v>
      </c>
      <c r="C7" s="222">
        <f>'1010-3-3'!O21</f>
        <v>2390600.12</v>
      </c>
      <c r="D7" s="222">
        <f>SUMIF('1010-1'!$D$7:$D$50,B7,'1010-1'!$H$7:$H$50)-SUMIF('1010-1'!$D$7:$D$50,B7,'1010-1'!$I$7:$I$50)</f>
        <v>0</v>
      </c>
      <c r="E7" s="222">
        <f>C7+D7</f>
        <v>2390600.12</v>
      </c>
      <c r="F7" s="222">
        <f>'1010-3-3'!AM5</f>
        <v>2326906.73</v>
      </c>
      <c r="G7" s="222">
        <f>E7-F7</f>
        <v>63693.3900000001</v>
      </c>
      <c r="H7" s="795">
        <f>IFERROR(IF(F7&lt;0,"不适用",G7/F7),"")</f>
        <v>0.0273725582460283</v>
      </c>
    </row>
    <row r="8" s="193" customFormat="1" ht="21" customHeight="1" spans="1:8">
      <c r="A8" s="193" t="str">
        <v/>
      </c>
      <c r="B8" s="797" t="s">
        <v>196</v>
      </c>
      <c r="C8" s="227">
        <f>SUM(C5:C7)</f>
        <v>2606547.75</v>
      </c>
      <c r="D8" s="227">
        <f>SUM(D5:D7)</f>
        <v>0</v>
      </c>
      <c r="E8" s="227">
        <f>SUM(E5:E7)</f>
        <v>2606547.75</v>
      </c>
      <c r="F8" s="227">
        <f>SUM(F5:F7)</f>
        <v>2375626.52</v>
      </c>
      <c r="G8" s="227">
        <f>SUM(G5:G7)</f>
        <v>230921.23</v>
      </c>
      <c r="H8" s="798" t="s">
        <v>197</v>
      </c>
    </row>
    <row r="9" s="193" customFormat="1" ht="18" customHeight="1" spans="2:8">
      <c r="B9" s="799"/>
      <c r="C9" s="275"/>
      <c r="D9" s="747">
        <f>'1010-3-1'!J16+'1010-3-2'!Q26+'1010-3-3'!Q21-D8</f>
        <v>0</v>
      </c>
      <c r="E9" s="747">
        <f>'1010-3-1'!L16+'1010-3-2'!S26+'1010-3-3'!S21-E8</f>
        <v>0</v>
      </c>
      <c r="F9" s="275"/>
      <c r="G9" s="275"/>
      <c r="H9" s="143"/>
    </row>
    <row r="10" s="193" customFormat="1" ht="18" customHeight="1" spans="2:8">
      <c r="B10" s="799"/>
      <c r="C10" s="275"/>
      <c r="D10" s="275"/>
      <c r="E10" s="275"/>
      <c r="F10" s="275"/>
      <c r="G10" s="275"/>
      <c r="H10" s="143"/>
    </row>
    <row r="11" s="193" customFormat="1" ht="18" customHeight="1" spans="2:8">
      <c r="B11" s="800" t="s">
        <v>198</v>
      </c>
      <c r="C11" s="143"/>
      <c r="D11" s="143"/>
      <c r="E11" s="143"/>
      <c r="F11" s="275"/>
      <c r="G11" s="275"/>
      <c r="H11" s="143"/>
    </row>
    <row r="12" s="193" customFormat="1" ht="18" customHeight="1" spans="2:8">
      <c r="B12" s="801" t="s">
        <v>199</v>
      </c>
      <c r="C12" s="802"/>
      <c r="D12" s="802"/>
      <c r="E12" s="802"/>
      <c r="F12" s="803"/>
      <c r="G12" s="803"/>
      <c r="H12" s="726"/>
    </row>
    <row r="13" s="193" customFormat="1" ht="18" customHeight="1" spans="2:8">
      <c r="B13" s="804" t="s">
        <v>200</v>
      </c>
      <c r="C13" s="805"/>
      <c r="D13" s="805"/>
      <c r="E13" s="805"/>
      <c r="F13" s="275"/>
      <c r="G13" s="275"/>
      <c r="H13" s="727"/>
    </row>
    <row r="14" s="193" customFormat="1" ht="16" customHeight="1" spans="2:8">
      <c r="B14" s="804" t="s">
        <v>201</v>
      </c>
      <c r="C14" s="805"/>
      <c r="D14" s="805"/>
      <c r="E14" s="805"/>
      <c r="F14" s="275"/>
      <c r="G14" s="275"/>
      <c r="H14" s="727"/>
    </row>
    <row r="15" s="193" customFormat="1" ht="16" customHeight="1" spans="2:8">
      <c r="B15" s="804" t="s">
        <v>202</v>
      </c>
      <c r="C15" s="805"/>
      <c r="D15" s="805"/>
      <c r="E15" s="805"/>
      <c r="F15" s="275"/>
      <c r="G15" s="275"/>
      <c r="H15" s="727"/>
    </row>
    <row r="16" s="193" customFormat="1" ht="18" hidden="1" customHeight="1" spans="2:8">
      <c r="B16" s="804" t="s">
        <v>203</v>
      </c>
      <c r="C16" s="805"/>
      <c r="D16" s="805"/>
      <c r="E16" s="805"/>
      <c r="F16" s="275"/>
      <c r="G16" s="275"/>
      <c r="H16" s="727"/>
    </row>
    <row r="17" s="193" customFormat="1" ht="18" hidden="1" customHeight="1" spans="2:8">
      <c r="B17" s="804" t="s">
        <v>204</v>
      </c>
      <c r="C17" s="805"/>
      <c r="D17" s="805"/>
      <c r="E17" s="805"/>
      <c r="F17" s="275"/>
      <c r="G17" s="275"/>
      <c r="H17" s="727"/>
    </row>
    <row r="18" s="193" customFormat="1" ht="18" hidden="1" customHeight="1" spans="2:8">
      <c r="B18" s="804" t="s">
        <v>205</v>
      </c>
      <c r="C18" s="805"/>
      <c r="D18" s="805"/>
      <c r="E18" s="805"/>
      <c r="F18" s="275"/>
      <c r="G18" s="275"/>
      <c r="H18" s="727"/>
    </row>
    <row r="19" s="193" customFormat="1" ht="18" customHeight="1" spans="2:8">
      <c r="B19" s="806"/>
      <c r="C19" s="807"/>
      <c r="D19" s="807"/>
      <c r="E19" s="807"/>
      <c r="F19" s="808"/>
      <c r="G19" s="808"/>
      <c r="H19" s="728"/>
    </row>
    <row r="20" s="193" customFormat="1" ht="18" customHeight="1"/>
    <row r="21" s="193" customFormat="1" ht="18" customHeight="1" spans="2:3">
      <c r="B21" s="809" t="s">
        <v>206</v>
      </c>
      <c r="C21" s="193" t="s">
        <v>207</v>
      </c>
    </row>
    <row r="22" s="193" customFormat="1" ht="18" customHeight="1" spans="2:3">
      <c r="B22" s="810"/>
      <c r="C22" s="811"/>
    </row>
    <row r="23" s="193" customFormat="1" ht="18" customHeight="1" spans="2:3">
      <c r="B23" s="273" t="s">
        <v>208</v>
      </c>
      <c r="C23" s="342" t="s">
        <v>209</v>
      </c>
    </row>
    <row r="24" s="193" customFormat="1" ht="18" customHeight="1" spans="2:3">
      <c r="B24" s="812"/>
      <c r="C24" s="229"/>
    </row>
    <row r="25" s="193" customFormat="1" ht="18" customHeight="1" spans="2:3">
      <c r="B25" s="812"/>
      <c r="C25" s="229"/>
    </row>
    <row r="26" s="193" customFormat="1" ht="18" customHeight="1" spans="2:3">
      <c r="B26" s="812"/>
      <c r="C26" s="229"/>
    </row>
    <row r="27" s="193" customFormat="1" ht="18" customHeight="1" spans="2:3">
      <c r="B27" s="555" t="s">
        <v>172</v>
      </c>
      <c r="C27" s="229"/>
    </row>
    <row r="28" s="193" customFormat="1" ht="18" customHeight="1" spans="2:3">
      <c r="B28" s="142" t="s">
        <v>210</v>
      </c>
      <c r="C28" s="229"/>
    </row>
    <row r="29" s="193" customFormat="1" ht="18" customHeight="1" spans="2:3">
      <c r="B29" s="812"/>
      <c r="C29" s="229"/>
    </row>
    <row r="30" s="193" customFormat="1" ht="18" customHeight="1" spans="2:3">
      <c r="B30" s="812"/>
      <c r="C30" s="229"/>
    </row>
    <row r="31" s="193" customFormat="1" ht="18" hidden="1" customHeight="1" outlineLevel="1" spans="2:3">
      <c r="B31" s="812"/>
      <c r="C31" s="813" t="s">
        <v>211</v>
      </c>
    </row>
    <row r="32" s="193" customFormat="1" ht="18" hidden="1" customHeight="1" outlineLevel="1" spans="2:3">
      <c r="B32" s="812"/>
      <c r="C32" s="813" t="s">
        <v>212</v>
      </c>
    </row>
    <row r="33" s="193" customFormat="1" ht="18" hidden="1" customHeight="1" outlineLevel="1" spans="2:3">
      <c r="B33" s="814"/>
      <c r="C33" s="815"/>
    </row>
    <row r="34" s="193" customFormat="1" ht="18" hidden="1" customHeight="1" outlineLevel="1" spans="2:3">
      <c r="B34" s="142"/>
      <c r="C34" s="815"/>
    </row>
    <row r="35" s="193" customFormat="1" ht="18" hidden="1" customHeight="1" outlineLevel="1" spans="2:3">
      <c r="B35" s="142"/>
      <c r="C35" s="815"/>
    </row>
    <row r="36" s="193" customFormat="1" ht="18" hidden="1" customHeight="1" outlineLevel="1" spans="2:3">
      <c r="B36" s="143"/>
      <c r="C36" s="816" t="s">
        <v>213</v>
      </c>
    </row>
    <row r="37" s="193" customFormat="1" ht="18" hidden="1" customHeight="1" outlineLevel="1" spans="2:3">
      <c r="B37" s="143"/>
      <c r="C37" s="816" t="s">
        <v>214</v>
      </c>
    </row>
    <row r="38" s="193" customFormat="1" ht="18" hidden="1" customHeight="1" outlineLevel="1" spans="2:3">
      <c r="B38" s="143"/>
      <c r="C38" s="816" t="s">
        <v>215</v>
      </c>
    </row>
    <row r="39" s="193" customFormat="1" ht="18" hidden="1" customHeight="1" outlineLevel="1" spans="2:3">
      <c r="B39" s="143"/>
      <c r="C39" s="816" t="s">
        <v>216</v>
      </c>
    </row>
    <row r="40" s="193" customFormat="1" hidden="1" customHeight="1" outlineLevel="1" spans="2:3">
      <c r="B40" s="143"/>
      <c r="C40" s="816" t="s">
        <v>217</v>
      </c>
    </row>
    <row r="41" s="193" customFormat="1" hidden="1" customHeight="1" outlineLevel="1" spans="2:3">
      <c r="B41" s="143"/>
      <c r="C41" s="816" t="s">
        <v>218</v>
      </c>
    </row>
    <row r="42" s="193" customFormat="1" hidden="1" customHeight="1" outlineLevel="1" spans="2:3">
      <c r="B42" s="143"/>
      <c r="C42" s="816" t="s">
        <v>219</v>
      </c>
    </row>
    <row r="43" s="193" customFormat="1" hidden="1" customHeight="1" outlineLevel="1" spans="2:3">
      <c r="B43" s="143"/>
      <c r="C43" s="816" t="s">
        <v>220</v>
      </c>
    </row>
    <row r="44" s="193" customFormat="1" hidden="1" customHeight="1" outlineLevel="1" spans="2:3">
      <c r="B44" s="143"/>
      <c r="C44" s="816" t="s">
        <v>221</v>
      </c>
    </row>
    <row r="45" s="193" customFormat="1" customHeight="1" collapsed="1"/>
    <row r="46" s="193" customFormat="1" customHeight="1"/>
    <row r="47" s="193" customFormat="1" customHeight="1"/>
    <row r="48" s="193" customFormat="1" customHeight="1"/>
    <row r="49" s="193" customFormat="1" customHeight="1"/>
    <row r="50" s="193" customFormat="1" customHeight="1"/>
    <row r="51" s="193" customFormat="1" customHeight="1"/>
    <row r="52" s="193" customFormat="1" customHeight="1"/>
    <row r="53" s="193" customFormat="1" customHeight="1"/>
    <row r="54" s="193" customFormat="1" customHeight="1"/>
    <row r="55" s="193" customFormat="1" customHeight="1"/>
    <row r="56" s="193" customFormat="1" customHeight="1"/>
    <row r="57" s="193" customFormat="1" customHeight="1"/>
    <row r="58" s="193" customFormat="1" customHeight="1"/>
    <row r="59" s="193" customFormat="1" customHeight="1"/>
    <row r="60" s="193" customFormat="1" customHeight="1"/>
    <row r="61" s="193" customFormat="1" customHeight="1"/>
    <row r="62" s="193" customFormat="1" customHeight="1"/>
    <row r="63" s="193" customFormat="1" customHeight="1"/>
    <row r="64" s="193" customFormat="1" customHeight="1"/>
  </sheetData>
  <dataValidations count="2">
    <dataValidation type="list" allowBlank="1" showInputMessage="1" showErrorMessage="1" sqref="C21">
      <formula1>$C$31:$C$32</formula1>
    </dataValidation>
    <dataValidation type="list" allowBlank="1" showInputMessage="1" showErrorMessage="1" sqref="C23">
      <formula1>$C$36:$C$44</formula1>
    </dataValidation>
  </dataValidations>
  <hyperlinks>
    <hyperlink ref="A1" location="'目录'!C6" display="&lt;&lt;"/>
  </hyperlinks>
  <printOptions horizontalCentered="1"/>
  <pageMargins left="0.590551181102362" right="0.196850393700787" top="0.984251968503937" bottom="0.984251968503937" header="0.511811023622047" footer="0.511811023622047"/>
  <pageSetup paperSize="9" scale="75" orientation="portrait" blackAndWhite="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S53"/>
  <sheetViews>
    <sheetView showGridLines="0" showZeros="0" zoomScaleSheetLayoutView="115" workbookViewId="0">
      <pane ySplit="5" topLeftCell="A6" activePane="bottomLeft" state="frozen"/>
      <selection/>
      <selection pane="bottomLeft" activeCell="B1" sqref="B1"/>
    </sheetView>
  </sheetViews>
  <sheetFormatPr defaultColWidth="9" defaultRowHeight="15.5"/>
  <cols>
    <col min="1" max="1" width="2.6" style="695" customWidth="1"/>
    <col min="2" max="2" width="5.9" style="695" customWidth="1"/>
    <col min="3" max="3" width="7.6" style="695" customWidth="1"/>
    <col min="4" max="4" width="9" style="695"/>
    <col min="5" max="12" width="9.6" style="695" customWidth="1"/>
    <col min="13" max="13" width="10" style="695" customWidth="1"/>
    <col min="14" max="14" width="9" style="695"/>
    <col min="15" max="36" width="9" style="695" hidden="1" customWidth="1" outlineLevel="1"/>
    <col min="37" max="37" width="12.4" style="621" customWidth="1" collapsed="1"/>
    <col min="38" max="39" width="12.4" style="621" customWidth="1"/>
    <col min="40" max="41" width="13.4" style="621" customWidth="1"/>
    <col min="42" max="42" width="11" style="621" customWidth="1"/>
    <col min="43" max="44" width="10.2" style="621" customWidth="1"/>
    <col min="45" max="16384" width="9" style="695"/>
  </cols>
  <sheetData>
    <row r="1" s="140" customFormat="1" ht="28.5" customHeight="1" spans="1:13">
      <c r="A1" s="65" t="s">
        <v>58</v>
      </c>
      <c r="B1" s="359" t="s">
        <v>30</v>
      </c>
      <c r="C1" s="360"/>
      <c r="D1" s="360"/>
      <c r="E1" s="360"/>
      <c r="F1" s="360"/>
      <c r="G1" s="360"/>
      <c r="H1" s="360"/>
      <c r="I1" s="360"/>
      <c r="J1" s="360"/>
      <c r="K1" s="360"/>
      <c r="L1" s="153" t="s">
        <v>59</v>
      </c>
      <c r="M1" s="126" t="str">
        <f>目录!E7</f>
        <v>1010-3-1</v>
      </c>
    </row>
    <row r="2" s="140" customFormat="1" ht="26.1" customHeight="1" spans="2:12">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153"/>
      <c r="E2" s="153"/>
      <c r="F2" s="153"/>
      <c r="G2" s="153"/>
      <c r="H2" s="153"/>
      <c r="I2" s="153"/>
      <c r="J2" s="153"/>
      <c r="K2" s="153"/>
      <c r="L2" s="153"/>
    </row>
    <row r="3" s="242" customFormat="1" ht="12" customHeight="1" spans="37:39">
      <c r="AK3" s="342" t="s">
        <v>222</v>
      </c>
      <c r="AL3" s="193"/>
      <c r="AM3" s="193"/>
    </row>
    <row r="4" s="355" customFormat="1" ht="18" customHeight="1" spans="2:45">
      <c r="B4" s="767" t="s">
        <v>79</v>
      </c>
      <c r="C4" s="698" t="s">
        <v>223</v>
      </c>
      <c r="D4" s="698" t="s">
        <v>224</v>
      </c>
      <c r="E4" s="720" t="s">
        <v>225</v>
      </c>
      <c r="F4" s="768"/>
      <c r="G4" s="720" t="s">
        <v>226</v>
      </c>
      <c r="H4" s="769"/>
      <c r="I4" s="720" t="s">
        <v>227</v>
      </c>
      <c r="J4" s="721"/>
      <c r="K4" s="720" t="s">
        <v>228</v>
      </c>
      <c r="L4" s="769"/>
      <c r="M4" s="778" t="s">
        <v>182</v>
      </c>
      <c r="AK4" s="729" t="s">
        <v>225</v>
      </c>
      <c r="AL4" s="344" t="s">
        <v>229</v>
      </c>
      <c r="AM4" s="345" t="s">
        <v>190</v>
      </c>
      <c r="AN4" s="193"/>
      <c r="AO4" s="193"/>
      <c r="AP4" s="193"/>
      <c r="AQ4" s="193"/>
      <c r="AR4" s="193"/>
      <c r="AS4" s="357"/>
    </row>
    <row r="5" s="355" customFormat="1" ht="18" customHeight="1" spans="2:45">
      <c r="B5" s="770"/>
      <c r="C5" s="702"/>
      <c r="D5" s="771"/>
      <c r="E5" s="703" t="s">
        <v>230</v>
      </c>
      <c r="F5" s="703" t="s">
        <v>231</v>
      </c>
      <c r="G5" s="763" t="s">
        <v>230</v>
      </c>
      <c r="H5" s="703" t="s">
        <v>231</v>
      </c>
      <c r="I5" s="763" t="s">
        <v>230</v>
      </c>
      <c r="J5" s="703" t="s">
        <v>231</v>
      </c>
      <c r="K5" s="763" t="s">
        <v>230</v>
      </c>
      <c r="L5" s="703" t="s">
        <v>231</v>
      </c>
      <c r="M5" s="779"/>
      <c r="AK5" s="730">
        <f>F16</f>
        <v>0</v>
      </c>
      <c r="AL5" s="519"/>
      <c r="AM5" s="731">
        <f>AK5+AL5</f>
        <v>0</v>
      </c>
      <c r="AN5" s="193"/>
      <c r="AO5" s="193"/>
      <c r="AP5" s="193"/>
      <c r="AQ5" s="193"/>
      <c r="AR5" s="193"/>
      <c r="AS5" s="357"/>
    </row>
    <row r="6" s="357" customFormat="1" ht="18" customHeight="1" spans="1:44">
      <c r="A6" s="357" t="str">
        <f t="array" ref="A6:A14">""</f>
        <v/>
      </c>
      <c r="B6" s="167">
        <v>1</v>
      </c>
      <c r="C6" s="168"/>
      <c r="D6" s="266"/>
      <c r="E6" s="643"/>
      <c r="F6" s="643"/>
      <c r="G6" s="643"/>
      <c r="H6" s="643"/>
      <c r="I6" s="643"/>
      <c r="J6" s="643"/>
      <c r="K6" s="652">
        <f>G6+I6</f>
        <v>0</v>
      </c>
      <c r="L6" s="652">
        <f>H6+J6</f>
        <v>0</v>
      </c>
      <c r="M6" s="780"/>
      <c r="AN6" s="193"/>
      <c r="AO6" s="193"/>
      <c r="AP6" s="193"/>
      <c r="AQ6" s="193"/>
      <c r="AR6" s="193"/>
    </row>
    <row r="7" s="357" customFormat="1" ht="18" customHeight="1" spans="1:44">
      <c r="A7" s="357" t="str">
        <v/>
      </c>
      <c r="B7" s="167">
        <v>2</v>
      </c>
      <c r="C7" s="168"/>
      <c r="D7" s="266"/>
      <c r="E7" s="643"/>
      <c r="F7" s="643"/>
      <c r="G7" s="643"/>
      <c r="H7" s="643"/>
      <c r="I7" s="643"/>
      <c r="J7" s="643"/>
      <c r="K7" s="652">
        <f t="shared" ref="K7:K12" si="0">G7+I7</f>
        <v>0</v>
      </c>
      <c r="L7" s="652">
        <f t="shared" ref="L7:L12" si="1">H7+J7</f>
        <v>0</v>
      </c>
      <c r="M7" s="780"/>
      <c r="AK7" s="342" t="s">
        <v>232</v>
      </c>
      <c r="AL7" s="193"/>
      <c r="AN7" s="193"/>
      <c r="AO7" s="193"/>
      <c r="AP7" s="193"/>
      <c r="AQ7" s="193"/>
      <c r="AR7" s="193"/>
    </row>
    <row r="8" s="357" customFormat="1" ht="18" customHeight="1" spans="1:44">
      <c r="A8" s="357" t="str">
        <v/>
      </c>
      <c r="B8" s="167">
        <v>3</v>
      </c>
      <c r="C8" s="168"/>
      <c r="D8" s="266"/>
      <c r="E8" s="643"/>
      <c r="F8" s="643"/>
      <c r="G8" s="643"/>
      <c r="H8" s="643"/>
      <c r="I8" s="643"/>
      <c r="J8" s="643"/>
      <c r="K8" s="652">
        <f t="shared" si="0"/>
        <v>0</v>
      </c>
      <c r="L8" s="652">
        <f t="shared" si="1"/>
        <v>0</v>
      </c>
      <c r="M8" s="780"/>
      <c r="AK8" s="732" t="s">
        <v>69</v>
      </c>
      <c r="AL8" s="342" t="s">
        <v>233</v>
      </c>
      <c r="AM8" s="193"/>
      <c r="AN8" s="193"/>
      <c r="AO8" s="193"/>
      <c r="AP8" s="193"/>
      <c r="AQ8" s="193"/>
      <c r="AR8" s="193"/>
    </row>
    <row r="9" s="357" customFormat="1" ht="18" customHeight="1" spans="1:44">
      <c r="A9" s="357" t="str">
        <v/>
      </c>
      <c r="B9" s="167">
        <v>4</v>
      </c>
      <c r="C9" s="168"/>
      <c r="D9" s="266"/>
      <c r="E9" s="643"/>
      <c r="F9" s="643"/>
      <c r="G9" s="643"/>
      <c r="H9" s="643"/>
      <c r="I9" s="643"/>
      <c r="J9" s="643"/>
      <c r="K9" s="652">
        <f t="shared" si="0"/>
        <v>0</v>
      </c>
      <c r="L9" s="652">
        <f t="shared" si="1"/>
        <v>0</v>
      </c>
      <c r="M9" s="780"/>
      <c r="AK9" s="732" t="s">
        <v>234</v>
      </c>
      <c r="AL9" s="342" t="s">
        <v>235</v>
      </c>
      <c r="AM9" s="193"/>
      <c r="AN9" s="193"/>
      <c r="AO9" s="193"/>
      <c r="AP9" s="193"/>
      <c r="AQ9" s="193"/>
      <c r="AR9" s="193"/>
    </row>
    <row r="10" s="357" customFormat="1" ht="18" customHeight="1" spans="1:44">
      <c r="A10" s="357" t="str">
        <v/>
      </c>
      <c r="B10" s="167">
        <v>5</v>
      </c>
      <c r="C10" s="168"/>
      <c r="D10" s="266"/>
      <c r="E10" s="643"/>
      <c r="F10" s="643"/>
      <c r="G10" s="643"/>
      <c r="H10" s="643"/>
      <c r="I10" s="643"/>
      <c r="J10" s="643"/>
      <c r="K10" s="652">
        <f t="shared" si="0"/>
        <v>0</v>
      </c>
      <c r="L10" s="652">
        <f t="shared" si="1"/>
        <v>0</v>
      </c>
      <c r="M10" s="780"/>
      <c r="AK10" s="732" t="s">
        <v>234</v>
      </c>
      <c r="AL10" s="342" t="s">
        <v>236</v>
      </c>
      <c r="AM10" s="193"/>
      <c r="AN10" s="193"/>
      <c r="AO10" s="193"/>
      <c r="AP10" s="193"/>
      <c r="AQ10" s="193"/>
      <c r="AR10" s="193"/>
    </row>
    <row r="11" s="357" customFormat="1" ht="18" customHeight="1" spans="1:44">
      <c r="A11" s="357" t="str">
        <v/>
      </c>
      <c r="B11" s="167">
        <v>6</v>
      </c>
      <c r="C11" s="168"/>
      <c r="D11" s="643"/>
      <c r="E11" s="643"/>
      <c r="F11" s="643"/>
      <c r="G11" s="643"/>
      <c r="H11" s="643"/>
      <c r="I11" s="643"/>
      <c r="J11" s="643"/>
      <c r="K11" s="652">
        <f t="shared" si="0"/>
        <v>0</v>
      </c>
      <c r="L11" s="652">
        <f t="shared" si="1"/>
        <v>0</v>
      </c>
      <c r="M11" s="780"/>
      <c r="AM11" s="193"/>
      <c r="AN11" s="193"/>
      <c r="AO11" s="193"/>
      <c r="AP11" s="193"/>
      <c r="AQ11" s="193"/>
      <c r="AR11" s="193"/>
    </row>
    <row r="12" s="357" customFormat="1" ht="26" spans="1:44">
      <c r="A12" s="357" t="str">
        <v/>
      </c>
      <c r="B12" s="167">
        <v>7</v>
      </c>
      <c r="C12" s="168"/>
      <c r="D12" s="643"/>
      <c r="E12" s="643"/>
      <c r="F12" s="643"/>
      <c r="G12" s="643"/>
      <c r="H12" s="643"/>
      <c r="I12" s="643"/>
      <c r="J12" s="643"/>
      <c r="K12" s="652">
        <f t="shared" si="0"/>
        <v>0</v>
      </c>
      <c r="L12" s="652">
        <f t="shared" si="1"/>
        <v>0</v>
      </c>
      <c r="M12" s="780"/>
      <c r="AK12" s="729" t="s">
        <v>237</v>
      </c>
      <c r="AL12" s="697" t="s">
        <v>238</v>
      </c>
      <c r="AM12" s="697" t="s">
        <v>239</v>
      </c>
      <c r="AN12" s="697" t="s">
        <v>240</v>
      </c>
      <c r="AO12" s="745" t="s">
        <v>190</v>
      </c>
      <c r="AP12" s="746"/>
      <c r="AQ12" s="193"/>
      <c r="AR12" s="193"/>
    </row>
    <row r="13" s="693" customFormat="1" ht="18" customHeight="1" spans="1:45">
      <c r="A13" s="693" t="str">
        <v/>
      </c>
      <c r="B13" s="167">
        <v>8</v>
      </c>
      <c r="C13" s="168"/>
      <c r="D13" s="643"/>
      <c r="E13" s="643"/>
      <c r="F13" s="643"/>
      <c r="G13" s="643"/>
      <c r="H13" s="643"/>
      <c r="I13" s="643"/>
      <c r="J13" s="643"/>
      <c r="K13" s="652">
        <f t="shared" ref="K13:K15" si="2">G13+I13</f>
        <v>0</v>
      </c>
      <c r="L13" s="652">
        <f t="shared" ref="L13:L15" si="3">H13+J13</f>
        <v>0</v>
      </c>
      <c r="M13" s="780"/>
      <c r="AK13" s="733" t="s">
        <v>193</v>
      </c>
      <c r="AL13" s="519"/>
      <c r="AM13" s="519"/>
      <c r="AN13" s="519"/>
      <c r="AO13" s="731">
        <f>AL13+AM13+AN13</f>
        <v>0</v>
      </c>
      <c r="AP13" s="746"/>
      <c r="AQ13" s="193"/>
      <c r="AR13" s="193"/>
      <c r="AS13" s="357"/>
    </row>
    <row r="14" s="357" customFormat="1" ht="18" customHeight="1" spans="1:44">
      <c r="A14" s="357" t="str">
        <v/>
      </c>
      <c r="B14" s="167">
        <v>9</v>
      </c>
      <c r="C14" s="168"/>
      <c r="D14" s="643"/>
      <c r="E14" s="643"/>
      <c r="F14" s="643"/>
      <c r="G14" s="643"/>
      <c r="H14" s="643"/>
      <c r="I14" s="643"/>
      <c r="J14" s="643"/>
      <c r="K14" s="652">
        <f t="shared" si="2"/>
        <v>0</v>
      </c>
      <c r="L14" s="652">
        <f t="shared" si="3"/>
        <v>0</v>
      </c>
      <c r="M14" s="780"/>
      <c r="AK14" s="734" t="str">
        <f>IF(AK5&lt;&gt;AL13,"说明：企业未按照上年度审计报告跟调。","说明：企业已按照上年度审计报告跟调。")</f>
        <v>说明：企业已按照上年度审计报告跟调。</v>
      </c>
      <c r="AL14" s="198"/>
      <c r="AM14" s="198"/>
      <c r="AN14" s="198"/>
      <c r="AO14" s="747">
        <f>AM5-AO13</f>
        <v>0</v>
      </c>
      <c r="AP14" s="341" t="s">
        <v>241</v>
      </c>
      <c r="AQ14" s="193"/>
      <c r="AR14" s="193"/>
    </row>
    <row r="15" s="143" customFormat="1" ht="18" customHeight="1" spans="2:45">
      <c r="B15" s="167">
        <v>10</v>
      </c>
      <c r="C15" s="168"/>
      <c r="D15" s="643"/>
      <c r="E15" s="643"/>
      <c r="F15" s="643"/>
      <c r="G15" s="643"/>
      <c r="H15" s="643"/>
      <c r="I15" s="643"/>
      <c r="J15" s="643"/>
      <c r="K15" s="652">
        <f t="shared" si="2"/>
        <v>0</v>
      </c>
      <c r="L15" s="652">
        <f t="shared" si="3"/>
        <v>0</v>
      </c>
      <c r="M15" s="780"/>
      <c r="AQ15" s="193"/>
      <c r="AR15" s="193"/>
      <c r="AS15" s="357"/>
    </row>
    <row r="16" s="143" customFormat="1" ht="18" customHeight="1" spans="2:45">
      <c r="B16" s="772" t="s">
        <v>242</v>
      </c>
      <c r="C16" s="773"/>
      <c r="D16" s="774"/>
      <c r="E16" s="775">
        <f>SUM(E6:E15)</f>
        <v>0</v>
      </c>
      <c r="F16" s="775">
        <f t="shared" ref="F16:L16" si="4">SUM(F6:F15)</f>
        <v>0</v>
      </c>
      <c r="G16" s="775">
        <f t="shared" si="4"/>
        <v>0</v>
      </c>
      <c r="H16" s="775">
        <f t="shared" si="4"/>
        <v>0</v>
      </c>
      <c r="I16" s="775">
        <f t="shared" si="4"/>
        <v>0</v>
      </c>
      <c r="J16" s="775">
        <f t="shared" si="4"/>
        <v>0</v>
      </c>
      <c r="K16" s="775">
        <f t="shared" si="4"/>
        <v>0</v>
      </c>
      <c r="L16" s="775">
        <f t="shared" si="4"/>
        <v>0</v>
      </c>
      <c r="M16" s="781"/>
      <c r="AL16" s="735" t="s">
        <v>176</v>
      </c>
      <c r="AM16" s="765" t="s">
        <v>177</v>
      </c>
      <c r="AN16" s="765" t="s">
        <v>178</v>
      </c>
      <c r="AO16" s="765" t="s">
        <v>179</v>
      </c>
      <c r="AP16" s="765" t="s">
        <v>180</v>
      </c>
      <c r="AQ16" s="748" t="s">
        <v>181</v>
      </c>
      <c r="AR16" s="748"/>
      <c r="AS16" s="749" t="s">
        <v>182</v>
      </c>
    </row>
    <row r="17" s="143" customFormat="1" ht="17.25" customHeight="1" spans="2:45">
      <c r="B17" s="357"/>
      <c r="C17" s="357"/>
      <c r="D17" s="357"/>
      <c r="E17" s="357"/>
      <c r="F17" s="357"/>
      <c r="G17" s="357"/>
      <c r="H17" s="357"/>
      <c r="I17" s="357"/>
      <c r="J17" s="357"/>
      <c r="K17" s="357"/>
      <c r="L17" s="357"/>
      <c r="M17" s="357"/>
      <c r="AK17" s="193"/>
      <c r="AL17" s="737"/>
      <c r="AM17" s="766"/>
      <c r="AN17" s="766"/>
      <c r="AO17" s="766"/>
      <c r="AP17" s="766"/>
      <c r="AQ17" s="750" t="s">
        <v>183</v>
      </c>
      <c r="AR17" s="750" t="s">
        <v>184</v>
      </c>
      <c r="AS17" s="751"/>
    </row>
    <row r="18" s="143" customFormat="1" ht="17.25" customHeight="1" spans="2:45">
      <c r="B18" s="709" t="s">
        <v>198</v>
      </c>
      <c r="C18" s="710"/>
      <c r="D18" s="275"/>
      <c r="E18" s="275"/>
      <c r="F18" s="275"/>
      <c r="G18" s="275"/>
      <c r="H18" s="275"/>
      <c r="I18" s="275"/>
      <c r="J18" s="275"/>
      <c r="K18" s="275"/>
      <c r="L18" s="275"/>
      <c r="AK18" s="193"/>
      <c r="AL18" s="739"/>
      <c r="AM18" s="740"/>
      <c r="AN18" s="740"/>
      <c r="AO18" s="740"/>
      <c r="AP18" s="628"/>
      <c r="AQ18" s="311"/>
      <c r="AR18" s="311"/>
      <c r="AS18" s="629"/>
    </row>
    <row r="19" s="357" customFormat="1" spans="2:45">
      <c r="B19" s="776" t="s">
        <v>243</v>
      </c>
      <c r="C19" s="712"/>
      <c r="D19" s="712"/>
      <c r="E19" s="712"/>
      <c r="F19" s="712"/>
      <c r="G19" s="712"/>
      <c r="H19" s="712"/>
      <c r="I19" s="712"/>
      <c r="J19" s="712"/>
      <c r="K19" s="712"/>
      <c r="L19" s="712"/>
      <c r="M19" s="726"/>
      <c r="AK19" s="193"/>
      <c r="AL19" s="739"/>
      <c r="AM19" s="740"/>
      <c r="AN19" s="740"/>
      <c r="AO19" s="740"/>
      <c r="AP19" s="628"/>
      <c r="AQ19" s="311"/>
      <c r="AR19" s="311"/>
      <c r="AS19" s="629"/>
    </row>
    <row r="20" s="357" customFormat="1" spans="2:45">
      <c r="B20" s="713"/>
      <c r="C20" s="143"/>
      <c r="D20" s="143"/>
      <c r="E20" s="143"/>
      <c r="F20" s="143"/>
      <c r="G20" s="143"/>
      <c r="H20" s="143"/>
      <c r="I20" s="143"/>
      <c r="J20" s="143"/>
      <c r="K20" s="143"/>
      <c r="L20" s="143"/>
      <c r="M20" s="727"/>
      <c r="AK20" s="193"/>
      <c r="AL20" s="739"/>
      <c r="AM20" s="740"/>
      <c r="AN20" s="740"/>
      <c r="AO20" s="740"/>
      <c r="AP20" s="628"/>
      <c r="AQ20" s="311"/>
      <c r="AR20" s="311"/>
      <c r="AS20" s="629"/>
    </row>
    <row r="21" s="694" customFormat="1" ht="16.25" spans="2:45">
      <c r="B21" s="714"/>
      <c r="C21" s="715"/>
      <c r="D21" s="715"/>
      <c r="E21" s="715"/>
      <c r="F21" s="715"/>
      <c r="G21" s="715"/>
      <c r="H21" s="715"/>
      <c r="I21" s="715"/>
      <c r="J21" s="715"/>
      <c r="K21" s="715"/>
      <c r="L21" s="715"/>
      <c r="M21" s="728"/>
      <c r="AK21" s="193"/>
      <c r="AL21" s="739"/>
      <c r="AM21" s="740"/>
      <c r="AN21" s="740"/>
      <c r="AO21" s="740"/>
      <c r="AP21" s="628"/>
      <c r="AQ21" s="311"/>
      <c r="AR21" s="311"/>
      <c r="AS21" s="629"/>
    </row>
    <row r="22" s="694" customFormat="1" ht="20.25" customHeight="1" spans="2:45">
      <c r="B22" s="555" t="s">
        <v>172</v>
      </c>
      <c r="C22" s="555"/>
      <c r="AK22" s="193"/>
      <c r="AL22" s="739"/>
      <c r="AM22" s="740"/>
      <c r="AN22" s="740"/>
      <c r="AO22" s="740"/>
      <c r="AP22" s="628"/>
      <c r="AQ22" s="311"/>
      <c r="AR22" s="311"/>
      <c r="AS22" s="629"/>
    </row>
    <row r="23" s="356" customFormat="1" ht="15.75" customHeight="1" spans="2:45">
      <c r="B23" s="777" t="s">
        <v>244</v>
      </c>
      <c r="C23" s="777"/>
      <c r="D23" s="777"/>
      <c r="E23" s="777"/>
      <c r="F23" s="777"/>
      <c r="G23" s="777"/>
      <c r="H23" s="777"/>
      <c r="I23" s="777"/>
      <c r="J23" s="777"/>
      <c r="K23" s="777"/>
      <c r="L23" s="777"/>
      <c r="M23" s="777"/>
      <c r="AK23" s="193"/>
      <c r="AL23" s="741"/>
      <c r="AM23" s="740"/>
      <c r="AN23" s="740"/>
      <c r="AO23" s="740"/>
      <c r="AP23" s="752"/>
      <c r="AQ23" s="753"/>
      <c r="AR23" s="753"/>
      <c r="AS23" s="754"/>
    </row>
    <row r="24" s="694" customFormat="1" spans="2:45">
      <c r="B24" s="777"/>
      <c r="C24" s="777"/>
      <c r="D24" s="777"/>
      <c r="E24" s="777"/>
      <c r="F24" s="777"/>
      <c r="G24" s="777"/>
      <c r="H24" s="777"/>
      <c r="I24" s="777"/>
      <c r="J24" s="777"/>
      <c r="K24" s="777"/>
      <c r="L24" s="777"/>
      <c r="M24" s="777"/>
      <c r="AK24" s="193"/>
      <c r="AL24" s="739"/>
      <c r="AM24" s="740"/>
      <c r="AN24" s="740"/>
      <c r="AO24" s="740"/>
      <c r="AP24" s="628"/>
      <c r="AQ24" s="311"/>
      <c r="AR24" s="311"/>
      <c r="AS24" s="629"/>
    </row>
    <row r="25" spans="2:45">
      <c r="B25" s="777"/>
      <c r="C25" s="777"/>
      <c r="D25" s="777"/>
      <c r="E25" s="777"/>
      <c r="F25" s="777"/>
      <c r="G25" s="777"/>
      <c r="H25" s="777"/>
      <c r="I25" s="777"/>
      <c r="J25" s="777"/>
      <c r="K25" s="777"/>
      <c r="L25" s="777"/>
      <c r="M25" s="777"/>
      <c r="AK25" s="193"/>
      <c r="AL25" s="307"/>
      <c r="AM25" s="740"/>
      <c r="AN25" s="740"/>
      <c r="AO25" s="740"/>
      <c r="AP25" s="755"/>
      <c r="AQ25" s="219"/>
      <c r="AR25" s="219"/>
      <c r="AS25" s="756"/>
    </row>
    <row r="26" s="357" customFormat="1" spans="2:45">
      <c r="B26" s="777"/>
      <c r="C26" s="777"/>
      <c r="D26" s="777"/>
      <c r="E26" s="777"/>
      <c r="F26" s="777"/>
      <c r="G26" s="777"/>
      <c r="H26" s="777"/>
      <c r="I26" s="777"/>
      <c r="J26" s="777"/>
      <c r="K26" s="777"/>
      <c r="L26" s="777"/>
      <c r="M26" s="777"/>
      <c r="AK26" s="341"/>
      <c r="AL26" s="307"/>
      <c r="AM26" s="740"/>
      <c r="AN26" s="740"/>
      <c r="AO26" s="740"/>
      <c r="AP26" s="755"/>
      <c r="AQ26" s="219"/>
      <c r="AR26" s="219"/>
      <c r="AS26" s="756"/>
    </row>
    <row r="27" s="357" customFormat="1" spans="2:45">
      <c r="B27" s="777"/>
      <c r="C27" s="777"/>
      <c r="D27" s="777"/>
      <c r="E27" s="777"/>
      <c r="F27" s="777"/>
      <c r="G27" s="777"/>
      <c r="H27" s="777"/>
      <c r="I27" s="777"/>
      <c r="J27" s="777"/>
      <c r="K27" s="777"/>
      <c r="L27" s="777"/>
      <c r="M27" s="777"/>
      <c r="AK27" s="193"/>
      <c r="AL27" s="307"/>
      <c r="AM27" s="740"/>
      <c r="AN27" s="740"/>
      <c r="AO27" s="740"/>
      <c r="AP27" s="755"/>
      <c r="AQ27" s="219"/>
      <c r="AR27" s="219"/>
      <c r="AS27" s="756"/>
    </row>
    <row r="28" s="357" customFormat="1" spans="37:45">
      <c r="AK28" s="143"/>
      <c r="AL28" s="307"/>
      <c r="AM28" s="740"/>
      <c r="AN28" s="740"/>
      <c r="AO28" s="740"/>
      <c r="AP28" s="755"/>
      <c r="AQ28" s="219"/>
      <c r="AR28" s="219"/>
      <c r="AS28" s="756"/>
    </row>
    <row r="29" s="357" customFormat="1" spans="37:45">
      <c r="AK29" s="143"/>
      <c r="AL29" s="739"/>
      <c r="AM29" s="740"/>
      <c r="AN29" s="740"/>
      <c r="AO29" s="740"/>
      <c r="AP29" s="628"/>
      <c r="AQ29" s="311"/>
      <c r="AR29" s="311"/>
      <c r="AS29" s="629"/>
    </row>
    <row r="30" s="357" customFormat="1" spans="37:45">
      <c r="AK30" s="143"/>
      <c r="AL30" s="739"/>
      <c r="AM30" s="740"/>
      <c r="AN30" s="740"/>
      <c r="AO30" s="740"/>
      <c r="AP30" s="628"/>
      <c r="AQ30" s="311"/>
      <c r="AR30" s="311"/>
      <c r="AS30" s="629"/>
    </row>
    <row r="31" s="357" customFormat="1" spans="37:45">
      <c r="AK31" s="143"/>
      <c r="AL31" s="742"/>
      <c r="AM31" s="740"/>
      <c r="AN31" s="740"/>
      <c r="AO31" s="740"/>
      <c r="AP31" s="757"/>
      <c r="AQ31" s="758"/>
      <c r="AR31" s="758"/>
      <c r="AS31" s="759"/>
    </row>
    <row r="32" s="357" customFormat="1" spans="37:45">
      <c r="AK32" s="193"/>
      <c r="AL32" s="742"/>
      <c r="AM32" s="740"/>
      <c r="AN32" s="740"/>
      <c r="AO32" s="740"/>
      <c r="AP32" s="757"/>
      <c r="AQ32" s="760"/>
      <c r="AR32" s="760"/>
      <c r="AS32" s="759"/>
    </row>
    <row r="33" s="357" customFormat="1" spans="37:45">
      <c r="AK33" s="193"/>
      <c r="AL33" s="742"/>
      <c r="AM33" s="740"/>
      <c r="AN33" s="740"/>
      <c r="AO33" s="740"/>
      <c r="AP33" s="757"/>
      <c r="AQ33" s="760"/>
      <c r="AR33" s="760"/>
      <c r="AS33" s="759"/>
    </row>
    <row r="34" s="357" customFormat="1" spans="37:45">
      <c r="AK34" s="356"/>
      <c r="AL34" s="739"/>
      <c r="AM34" s="740"/>
      <c r="AN34" s="740"/>
      <c r="AO34" s="740"/>
      <c r="AP34" s="628"/>
      <c r="AQ34" s="311"/>
      <c r="AR34" s="311"/>
      <c r="AS34" s="629"/>
    </row>
    <row r="35" s="357" customFormat="1" spans="37:45">
      <c r="AK35" s="356"/>
      <c r="AL35" s="739"/>
      <c r="AM35" s="740"/>
      <c r="AN35" s="740"/>
      <c r="AO35" s="740"/>
      <c r="AP35" s="628"/>
      <c r="AQ35" s="311"/>
      <c r="AR35" s="311"/>
      <c r="AS35" s="629"/>
    </row>
    <row r="36" s="357" customFormat="1" ht="16.25" spans="37:45">
      <c r="AK36" s="356"/>
      <c r="AL36" s="743"/>
      <c r="AM36" s="744"/>
      <c r="AN36" s="744"/>
      <c r="AO36" s="744"/>
      <c r="AP36" s="761"/>
      <c r="AQ36" s="519"/>
      <c r="AR36" s="519"/>
      <c r="AS36" s="762"/>
    </row>
    <row r="37" s="357" customFormat="1" spans="37:37">
      <c r="AK37" s="621"/>
    </row>
    <row r="38" s="357" customFormat="1" spans="37:37">
      <c r="AK38" s="193"/>
    </row>
    <row r="39" s="357" customFormat="1" spans="37:37">
      <c r="AK39" s="193"/>
    </row>
    <row r="40" s="357" customFormat="1" spans="37:44">
      <c r="AK40" s="193"/>
      <c r="AL40" s="193"/>
      <c r="AM40" s="193"/>
      <c r="AN40" s="193"/>
      <c r="AO40" s="193"/>
      <c r="AP40" s="193"/>
      <c r="AQ40" s="193"/>
      <c r="AR40" s="193"/>
    </row>
    <row r="41" s="357" customFormat="1" spans="37:44">
      <c r="AK41" s="193"/>
      <c r="AL41" s="193"/>
      <c r="AM41" s="193"/>
      <c r="AN41" s="193"/>
      <c r="AO41" s="193"/>
      <c r="AP41" s="193"/>
      <c r="AQ41" s="193"/>
      <c r="AR41" s="193"/>
    </row>
    <row r="42" spans="37:45">
      <c r="AK42" s="193"/>
      <c r="AL42" s="193"/>
      <c r="AM42" s="193"/>
      <c r="AN42" s="193"/>
      <c r="AO42" s="193"/>
      <c r="AP42" s="193"/>
      <c r="AQ42" s="193"/>
      <c r="AR42" s="193"/>
      <c r="AS42" s="357"/>
    </row>
    <row r="43" spans="37:45">
      <c r="AK43" s="193"/>
      <c r="AL43" s="193"/>
      <c r="AM43" s="193"/>
      <c r="AN43" s="193"/>
      <c r="AO43" s="193"/>
      <c r="AP43" s="193"/>
      <c r="AQ43" s="193"/>
      <c r="AR43" s="193"/>
      <c r="AS43" s="357"/>
    </row>
    <row r="44" spans="37:45">
      <c r="AK44" s="193"/>
      <c r="AL44" s="193"/>
      <c r="AM44" s="193"/>
      <c r="AN44" s="193"/>
      <c r="AO44" s="193"/>
      <c r="AP44" s="193"/>
      <c r="AQ44" s="193"/>
      <c r="AR44" s="193"/>
      <c r="AS44" s="357"/>
    </row>
    <row r="45" spans="37:45">
      <c r="AK45" s="193"/>
      <c r="AL45" s="193"/>
      <c r="AM45" s="193"/>
      <c r="AN45" s="193"/>
      <c r="AO45" s="193"/>
      <c r="AP45" s="193"/>
      <c r="AQ45" s="193"/>
      <c r="AR45" s="193"/>
      <c r="AS45" s="357"/>
    </row>
    <row r="46" spans="37:45">
      <c r="AK46" s="193"/>
      <c r="AL46" s="193"/>
      <c r="AM46" s="193"/>
      <c r="AN46" s="193"/>
      <c r="AO46" s="193"/>
      <c r="AP46" s="193"/>
      <c r="AQ46" s="193"/>
      <c r="AR46" s="193"/>
      <c r="AS46" s="357"/>
    </row>
    <row r="47" spans="37:45">
      <c r="AK47" s="193"/>
      <c r="AL47" s="193"/>
      <c r="AM47" s="193"/>
      <c r="AN47" s="193"/>
      <c r="AO47" s="193"/>
      <c r="AP47" s="193"/>
      <c r="AQ47" s="193"/>
      <c r="AR47" s="193"/>
      <c r="AS47" s="357"/>
    </row>
    <row r="48" spans="37:45">
      <c r="AK48" s="193"/>
      <c r="AL48" s="193"/>
      <c r="AM48" s="193"/>
      <c r="AN48" s="193"/>
      <c r="AO48" s="193"/>
      <c r="AP48" s="193"/>
      <c r="AQ48" s="193"/>
      <c r="AR48" s="193"/>
      <c r="AS48" s="357"/>
    </row>
    <row r="49" spans="37:45">
      <c r="AK49" s="193"/>
      <c r="AL49" s="193"/>
      <c r="AM49" s="193"/>
      <c r="AN49" s="193"/>
      <c r="AO49" s="193"/>
      <c r="AP49" s="193"/>
      <c r="AQ49" s="193"/>
      <c r="AR49" s="193"/>
      <c r="AS49" s="357"/>
    </row>
    <row r="50" spans="37:45">
      <c r="AK50" s="193"/>
      <c r="AL50" s="193"/>
      <c r="AM50" s="193"/>
      <c r="AN50" s="193"/>
      <c r="AO50" s="193"/>
      <c r="AP50" s="193"/>
      <c r="AQ50" s="193"/>
      <c r="AR50" s="193"/>
      <c r="AS50" s="357"/>
    </row>
    <row r="51" spans="37:45">
      <c r="AK51" s="193"/>
      <c r="AL51" s="193"/>
      <c r="AM51" s="193"/>
      <c r="AN51" s="193"/>
      <c r="AO51" s="193"/>
      <c r="AP51" s="193"/>
      <c r="AQ51" s="193"/>
      <c r="AR51" s="193"/>
      <c r="AS51" s="357"/>
    </row>
    <row r="52" spans="37:45">
      <c r="AK52" s="193"/>
      <c r="AL52" s="193"/>
      <c r="AM52" s="193"/>
      <c r="AN52" s="193"/>
      <c r="AO52" s="193"/>
      <c r="AP52" s="193"/>
      <c r="AQ52" s="193"/>
      <c r="AR52" s="193"/>
      <c r="AS52" s="357"/>
    </row>
    <row r="53" spans="37:45">
      <c r="AK53" s="193"/>
      <c r="AL53" s="193"/>
      <c r="AM53" s="193"/>
      <c r="AN53" s="193"/>
      <c r="AO53" s="193"/>
      <c r="AP53" s="193"/>
      <c r="AQ53" s="193"/>
      <c r="AR53" s="193"/>
      <c r="AS53" s="357"/>
    </row>
  </sheetData>
  <mergeCells count="16">
    <mergeCell ref="E4:F4"/>
    <mergeCell ref="G4:H4"/>
    <mergeCell ref="I4:J4"/>
    <mergeCell ref="K4:L4"/>
    <mergeCell ref="AQ16:AR16"/>
    <mergeCell ref="B4:B5"/>
    <mergeCell ref="C4:C5"/>
    <mergeCell ref="D4:D5"/>
    <mergeCell ref="M4:M5"/>
    <mergeCell ref="AL16:AL17"/>
    <mergeCell ref="AM16:AM17"/>
    <mergeCell ref="AN16:AN17"/>
    <mergeCell ref="AO16:AO17"/>
    <mergeCell ref="AP16:AP17"/>
    <mergeCell ref="AS16:AS17"/>
    <mergeCell ref="B23:M27"/>
  </mergeCells>
  <conditionalFormatting sqref="AP14">
    <cfRule type="expression" dxfId="1" priority="1">
      <formula>$AO$14&lt;&gt;0</formula>
    </cfRule>
  </conditionalFormatting>
  <dataValidations count="4">
    <dataValidation type="list" allowBlank="1" showInputMessage="1" showErrorMessage="1" sqref="AK8:AK10">
      <formula1>"√,×"</formula1>
    </dataValidation>
    <dataValidation type="list" allowBlank="1" showInputMessage="1" showErrorMessage="1" sqref="AM18:AM36">
      <formula1>科目表</formula1>
    </dataValidation>
    <dataValidation type="list" allowBlank="1" showInputMessage="1" showErrorMessage="1" sqref="AN18:AN36">
      <formula1>二级科目</formula1>
    </dataValidation>
    <dataValidation type="list" allowBlank="1" showInputMessage="1" showErrorMessage="1" sqref="AO18:AO36">
      <formula1>三级科目</formula1>
    </dataValidation>
  </dataValidations>
  <hyperlinks>
    <hyperlink ref="A1" location="'目录'!C7" display="&lt;&lt;"/>
  </hyperlinks>
  <printOptions horizontalCentered="1"/>
  <pageMargins left="0.196850393700787" right="0.196850393700787" top="0.984251968503937" bottom="0.984251968503937" header="0.511811023622047" footer="0.511811023622047"/>
  <pageSetup paperSize="9" scale="85" orientation="landscape" blackAndWhite="1"/>
  <headerFooter alignWithMargins="0"/>
  <legacyDrawing r:id="rId2"/>
  <extLst>
    <ext xmlns:x14="http://schemas.microsoft.com/office/spreadsheetml/2009/9/main" uri="{78C0D931-6437-407d-A8EE-F0AAD7539E65}">
      <x14:conditionalFormattings>
        <x14:conditionalFormatting xmlns:xm="http://schemas.microsoft.com/office/excel/2006/main">
          <x14:cfRule type="iconSet" priority="2" id="{62f3bcf3-3004-45e1-8ecf-91faebb5ec59}">
            <x14:iconSet iconSet="3Symbols2" custom="1">
              <x14:cfvo type="percent">
                <xm:f>0</xm:f>
              </x14:cfvo>
              <x14:cfvo type="num" gte="0">
                <xm:f>-0.001</xm:f>
              </x14:cfvo>
              <x14:cfvo type="num" gte="0">
                <xm:f>0.001</xm:f>
              </x14:cfvo>
              <x14:cfIcon iconSet="3Symbols2" iconId="0"/>
              <x14:cfIcon iconSet="3Symbols2" iconId="2"/>
              <x14:cfIcon iconSet="3Symbols2" iconId="0"/>
            </x14:iconSet>
          </x14:cfRule>
          <xm:sqref>AO14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AS71"/>
  <sheetViews>
    <sheetView showGridLines="0" showZeros="0" zoomScale="81" zoomScaleNormal="81" zoomScaleSheetLayoutView="115" workbookViewId="0">
      <pane ySplit="5" topLeftCell="A22" activePane="bottomLeft" state="frozen"/>
      <selection/>
      <selection pane="bottomLeft" activeCell="P2" sqref="P2"/>
    </sheetView>
  </sheetViews>
  <sheetFormatPr defaultColWidth="9" defaultRowHeight="15.5"/>
  <cols>
    <col min="1" max="1" width="2.6" style="695" customWidth="1"/>
    <col min="2" max="2" width="8.1" style="695" customWidth="1"/>
    <col min="3" max="3" width="9.4" style="695" customWidth="1"/>
    <col min="4" max="4" width="12.6" style="695" customWidth="1"/>
    <col min="5" max="5" width="14.1" style="695" customWidth="1"/>
    <col min="6" max="6" width="10.1" style="695" customWidth="1"/>
    <col min="7" max="7" width="9" style="695"/>
    <col min="8" max="19" width="9.6" style="695" customWidth="1"/>
    <col min="20" max="20" width="9" style="695" customWidth="1"/>
    <col min="21" max="36" width="9" style="695" hidden="1" customWidth="1" outlineLevel="1"/>
    <col min="37" max="37" width="12.5" style="621" customWidth="1" collapsed="1"/>
    <col min="38" max="41" width="12.5" style="621" customWidth="1"/>
    <col min="42" max="42" width="11" style="621" customWidth="1"/>
    <col min="43" max="44" width="11.2" style="621" customWidth="1"/>
    <col min="45" max="16384" width="9" style="695"/>
  </cols>
  <sheetData>
    <row r="1" s="140" customFormat="1" ht="28.5" customHeight="1" spans="1:19">
      <c r="A1" s="65" t="s">
        <v>58</v>
      </c>
      <c r="B1" s="359" t="s">
        <v>32</v>
      </c>
      <c r="C1" s="360"/>
      <c r="D1" s="360"/>
      <c r="E1" s="360"/>
      <c r="F1" s="360"/>
      <c r="G1" s="360"/>
      <c r="H1" s="360"/>
      <c r="I1" s="360"/>
      <c r="J1" s="360"/>
      <c r="K1" s="360" t="s">
        <v>245</v>
      </c>
      <c r="L1" s="360"/>
      <c r="M1" s="360"/>
      <c r="N1" s="360"/>
      <c r="O1" s="360"/>
      <c r="P1" s="360"/>
      <c r="Q1" s="360"/>
      <c r="R1" s="153" t="s">
        <v>59</v>
      </c>
      <c r="S1" s="126" t="str">
        <f>目录!E8</f>
        <v>1010-3-2</v>
      </c>
    </row>
    <row r="2" s="140" customFormat="1" ht="26.1" customHeight="1" spans="2:19">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93"/>
      <c r="E2" s="153"/>
      <c r="F2" s="153"/>
      <c r="G2" s="153"/>
      <c r="H2" s="153"/>
      <c r="I2" s="153"/>
      <c r="J2" s="153"/>
      <c r="K2" s="153"/>
      <c r="L2" s="153"/>
      <c r="M2" s="153"/>
      <c r="N2" s="153"/>
      <c r="O2" s="153"/>
      <c r="P2" s="153"/>
      <c r="Q2" s="153"/>
      <c r="R2" s="153"/>
      <c r="S2" s="153"/>
    </row>
    <row r="3" s="242" customFormat="1" ht="12" customHeight="1" spans="37:39">
      <c r="AK3" s="342" t="s">
        <v>222</v>
      </c>
      <c r="AL3" s="193"/>
      <c r="AM3" s="193"/>
    </row>
    <row r="4" s="357" customFormat="1" ht="18" customHeight="1" spans="1:44">
      <c r="A4" s="357" t="str">
        <f t="array" ref="A4:A21">""</f>
        <v/>
      </c>
      <c r="B4" s="696" t="s">
        <v>79</v>
      </c>
      <c r="C4" s="697" t="s">
        <v>223</v>
      </c>
      <c r="D4" s="697" t="s">
        <v>246</v>
      </c>
      <c r="E4" s="697" t="s">
        <v>247</v>
      </c>
      <c r="F4" s="697" t="s">
        <v>224</v>
      </c>
      <c r="G4" s="698" t="s">
        <v>248</v>
      </c>
      <c r="H4" s="718" t="s">
        <v>225</v>
      </c>
      <c r="I4" s="719"/>
      <c r="J4" s="718" t="s">
        <v>249</v>
      </c>
      <c r="K4" s="719"/>
      <c r="L4" s="718" t="s">
        <v>250</v>
      </c>
      <c r="M4" s="719"/>
      <c r="N4" s="718" t="s">
        <v>226</v>
      </c>
      <c r="O4" s="719"/>
      <c r="P4" s="718" t="s">
        <v>227</v>
      </c>
      <c r="Q4" s="719"/>
      <c r="R4" s="718" t="s">
        <v>228</v>
      </c>
      <c r="S4" s="764"/>
      <c r="AK4" s="729" t="s">
        <v>225</v>
      </c>
      <c r="AL4" s="344" t="s">
        <v>229</v>
      </c>
      <c r="AM4" s="345" t="s">
        <v>190</v>
      </c>
      <c r="AN4" s="193"/>
      <c r="AO4" s="193"/>
      <c r="AP4" s="193"/>
      <c r="AQ4" s="193"/>
      <c r="AR4" s="193"/>
    </row>
    <row r="5" s="357" customFormat="1" ht="20.1" customHeight="1" spans="1:44">
      <c r="A5" s="357" t="str">
        <v/>
      </c>
      <c r="B5" s="700"/>
      <c r="C5" s="701"/>
      <c r="D5" s="701"/>
      <c r="E5" s="701"/>
      <c r="F5" s="701"/>
      <c r="G5" s="702"/>
      <c r="H5" s="703" t="s">
        <v>230</v>
      </c>
      <c r="I5" s="703" t="s">
        <v>231</v>
      </c>
      <c r="J5" s="703" t="s">
        <v>230</v>
      </c>
      <c r="K5" s="703" t="s">
        <v>231</v>
      </c>
      <c r="L5" s="703" t="s">
        <v>230</v>
      </c>
      <c r="M5" s="703" t="s">
        <v>231</v>
      </c>
      <c r="N5" s="763" t="s">
        <v>230</v>
      </c>
      <c r="O5" s="703" t="s">
        <v>231</v>
      </c>
      <c r="P5" s="763" t="s">
        <v>230</v>
      </c>
      <c r="Q5" s="703" t="s">
        <v>231</v>
      </c>
      <c r="R5" s="763" t="s">
        <v>230</v>
      </c>
      <c r="S5" s="723" t="s">
        <v>231</v>
      </c>
      <c r="AK5" s="730">
        <f>I26</f>
        <v>48719.79</v>
      </c>
      <c r="AL5" s="519"/>
      <c r="AM5" s="731">
        <f>AK5+AL5</f>
        <v>48719.79</v>
      </c>
      <c r="AN5" s="193"/>
      <c r="AO5" s="193"/>
      <c r="AP5" s="193"/>
      <c r="AQ5" s="193"/>
      <c r="AR5" s="193"/>
    </row>
    <row r="6" s="357" customFormat="1" ht="26" spans="1:44">
      <c r="A6" s="357" t="str">
        <v/>
      </c>
      <c r="B6" s="167">
        <v>1</v>
      </c>
      <c r="C6" s="168" t="s">
        <v>11</v>
      </c>
      <c r="D6" s="642" t="s">
        <v>251</v>
      </c>
      <c r="E6" s="983" t="s">
        <v>252</v>
      </c>
      <c r="F6" s="166" t="s">
        <v>253</v>
      </c>
      <c r="G6" s="704" t="s">
        <v>254</v>
      </c>
      <c r="H6" s="643">
        <v>22831.98</v>
      </c>
      <c r="I6" s="643">
        <v>22831.98</v>
      </c>
      <c r="J6" s="311">
        <v>23825.8</v>
      </c>
      <c r="K6" s="311">
        <v>23825.8</v>
      </c>
      <c r="L6" s="311">
        <v>774</v>
      </c>
      <c r="M6" s="311">
        <v>774</v>
      </c>
      <c r="N6" s="652">
        <f>H6+J6-L6</f>
        <v>45883.78</v>
      </c>
      <c r="O6" s="652">
        <f>I6+K6-M6</f>
        <v>45883.78</v>
      </c>
      <c r="P6" s="311"/>
      <c r="Q6" s="311"/>
      <c r="R6" s="652">
        <f>N6+P6</f>
        <v>45883.78</v>
      </c>
      <c r="S6" s="724">
        <f>ROUND(O6+Q6,2)</f>
        <v>45883.78</v>
      </c>
      <c r="AN6" s="193"/>
      <c r="AO6" s="193"/>
      <c r="AP6" s="193"/>
      <c r="AQ6" s="193"/>
      <c r="AR6" s="193"/>
    </row>
    <row r="7" s="357" customFormat="1" ht="26" spans="1:44">
      <c r="A7" s="357" t="str">
        <v/>
      </c>
      <c r="B7" s="167">
        <v>2</v>
      </c>
      <c r="C7" s="168" t="s">
        <v>11</v>
      </c>
      <c r="D7" s="642" t="s">
        <v>255</v>
      </c>
      <c r="E7" s="266" t="s">
        <v>256</v>
      </c>
      <c r="F7" s="166" t="s">
        <v>253</v>
      </c>
      <c r="G7" s="704" t="s">
        <v>257</v>
      </c>
      <c r="H7" s="643">
        <v>25887.81</v>
      </c>
      <c r="I7" s="643">
        <v>25887.81</v>
      </c>
      <c r="J7" s="311">
        <v>6407445.59</v>
      </c>
      <c r="K7" s="311">
        <v>6407445.59</v>
      </c>
      <c r="L7" s="311">
        <v>6263269.55</v>
      </c>
      <c r="M7" s="311">
        <v>6263269.55</v>
      </c>
      <c r="N7" s="652">
        <f t="shared" ref="N7:N25" si="0">H7+J7-L7</f>
        <v>170063.85</v>
      </c>
      <c r="O7" s="652">
        <f>I7+K7-M7</f>
        <v>170063.85</v>
      </c>
      <c r="P7" s="311"/>
      <c r="Q7" s="311"/>
      <c r="R7" s="652">
        <f t="shared" ref="R7:R25" si="1">N7+P7</f>
        <v>170063.85</v>
      </c>
      <c r="S7" s="724">
        <f t="shared" ref="S7:S25" si="2">ROUND(O7+Q7,2)</f>
        <v>170063.85</v>
      </c>
      <c r="AK7" s="342" t="s">
        <v>232</v>
      </c>
      <c r="AL7" s="193"/>
      <c r="AN7" s="193"/>
      <c r="AO7" s="193"/>
      <c r="AP7" s="193"/>
      <c r="AQ7" s="193"/>
      <c r="AR7" s="193"/>
    </row>
    <row r="8" s="357" customFormat="1" ht="18" customHeight="1" spans="1:44">
      <c r="A8" s="357" t="str">
        <v/>
      </c>
      <c r="B8" s="167">
        <v>3</v>
      </c>
      <c r="C8" s="168"/>
      <c r="D8" s="704"/>
      <c r="E8" s="166"/>
      <c r="F8" s="166"/>
      <c r="G8" s="704"/>
      <c r="H8" s="643"/>
      <c r="I8" s="643"/>
      <c r="J8" s="311"/>
      <c r="K8" s="311"/>
      <c r="L8" s="311"/>
      <c r="M8" s="311"/>
      <c r="N8" s="652">
        <f t="shared" si="0"/>
        <v>0</v>
      </c>
      <c r="O8" s="652">
        <f t="shared" ref="O8:O25" si="3">I8+K8-M8</f>
        <v>0</v>
      </c>
      <c r="P8" s="311"/>
      <c r="Q8" s="311"/>
      <c r="R8" s="652">
        <f t="shared" si="1"/>
        <v>0</v>
      </c>
      <c r="S8" s="724">
        <f t="shared" si="2"/>
        <v>0</v>
      </c>
      <c r="AK8" s="732" t="s">
        <v>69</v>
      </c>
      <c r="AL8" s="342" t="s">
        <v>233</v>
      </c>
      <c r="AM8" s="193"/>
      <c r="AN8" s="193"/>
      <c r="AO8" s="193"/>
      <c r="AP8" s="193"/>
      <c r="AQ8" s="193"/>
      <c r="AR8" s="193"/>
    </row>
    <row r="9" s="357" customFormat="1" ht="18" customHeight="1" spans="1:44">
      <c r="A9" s="357" t="str">
        <v/>
      </c>
      <c r="B9" s="167">
        <v>4</v>
      </c>
      <c r="C9" s="168"/>
      <c r="D9" s="704"/>
      <c r="E9" s="166"/>
      <c r="F9" s="166"/>
      <c r="G9" s="704"/>
      <c r="H9" s="643"/>
      <c r="I9" s="643"/>
      <c r="J9" s="311"/>
      <c r="K9" s="311"/>
      <c r="L9" s="311"/>
      <c r="M9" s="311"/>
      <c r="N9" s="652">
        <f t="shared" si="0"/>
        <v>0</v>
      </c>
      <c r="O9" s="652">
        <f t="shared" si="3"/>
        <v>0</v>
      </c>
      <c r="P9" s="311"/>
      <c r="Q9" s="311"/>
      <c r="R9" s="652">
        <f t="shared" si="1"/>
        <v>0</v>
      </c>
      <c r="S9" s="724">
        <f t="shared" si="2"/>
        <v>0</v>
      </c>
      <c r="AK9" s="732" t="s">
        <v>234</v>
      </c>
      <c r="AL9" s="342" t="s">
        <v>235</v>
      </c>
      <c r="AM9" s="193"/>
      <c r="AN9" s="193"/>
      <c r="AO9" s="193"/>
      <c r="AP9" s="193"/>
      <c r="AQ9" s="193"/>
      <c r="AR9" s="193"/>
    </row>
    <row r="10" s="357" customFormat="1" ht="18" customHeight="1" spans="1:44">
      <c r="A10" s="357" t="str">
        <v/>
      </c>
      <c r="B10" s="167">
        <v>5</v>
      </c>
      <c r="C10" s="168"/>
      <c r="D10" s="704"/>
      <c r="E10" s="166"/>
      <c r="F10" s="166"/>
      <c r="G10" s="704"/>
      <c r="H10" s="643"/>
      <c r="I10" s="643"/>
      <c r="J10" s="311"/>
      <c r="K10" s="311"/>
      <c r="L10" s="311"/>
      <c r="M10" s="311"/>
      <c r="N10" s="652">
        <f t="shared" si="0"/>
        <v>0</v>
      </c>
      <c r="O10" s="652">
        <f t="shared" si="3"/>
        <v>0</v>
      </c>
      <c r="P10" s="311"/>
      <c r="Q10" s="311"/>
      <c r="R10" s="652">
        <f t="shared" si="1"/>
        <v>0</v>
      </c>
      <c r="S10" s="724">
        <f t="shared" si="2"/>
        <v>0</v>
      </c>
      <c r="AK10" s="732" t="s">
        <v>234</v>
      </c>
      <c r="AL10" s="342" t="s">
        <v>236</v>
      </c>
      <c r="AM10" s="193"/>
      <c r="AN10" s="193"/>
      <c r="AO10" s="193"/>
      <c r="AP10" s="193"/>
      <c r="AQ10" s="193"/>
      <c r="AR10" s="193"/>
    </row>
    <row r="11" s="357" customFormat="1" ht="18" customHeight="1" spans="1:44">
      <c r="A11" s="357" t="str">
        <v/>
      </c>
      <c r="B11" s="167">
        <v>6</v>
      </c>
      <c r="C11" s="168"/>
      <c r="D11" s="166"/>
      <c r="E11" s="166"/>
      <c r="F11" s="166"/>
      <c r="G11" s="166"/>
      <c r="H11" s="643"/>
      <c r="I11" s="643"/>
      <c r="J11" s="311"/>
      <c r="K11" s="311"/>
      <c r="L11" s="311"/>
      <c r="M11" s="311"/>
      <c r="N11" s="652">
        <f t="shared" si="0"/>
        <v>0</v>
      </c>
      <c r="O11" s="652">
        <f t="shared" si="3"/>
        <v>0</v>
      </c>
      <c r="P11" s="311"/>
      <c r="Q11" s="311"/>
      <c r="R11" s="652">
        <f t="shared" si="1"/>
        <v>0</v>
      </c>
      <c r="S11" s="724">
        <f t="shared" si="2"/>
        <v>0</v>
      </c>
      <c r="AM11" s="193"/>
      <c r="AN11" s="193"/>
      <c r="AO11" s="193"/>
      <c r="AP11" s="193"/>
      <c r="AQ11" s="193"/>
      <c r="AR11" s="193"/>
    </row>
    <row r="12" s="357" customFormat="1" ht="26" spans="1:44">
      <c r="A12" s="357" t="str">
        <v/>
      </c>
      <c r="B12" s="167">
        <v>7</v>
      </c>
      <c r="C12" s="168"/>
      <c r="D12" s="166"/>
      <c r="E12" s="166"/>
      <c r="F12" s="166"/>
      <c r="G12" s="166"/>
      <c r="H12" s="643"/>
      <c r="I12" s="643"/>
      <c r="J12" s="311"/>
      <c r="K12" s="311"/>
      <c r="L12" s="311"/>
      <c r="M12" s="311"/>
      <c r="N12" s="652">
        <f t="shared" si="0"/>
        <v>0</v>
      </c>
      <c r="O12" s="652">
        <f t="shared" si="3"/>
        <v>0</v>
      </c>
      <c r="P12" s="311"/>
      <c r="Q12" s="311"/>
      <c r="R12" s="652">
        <f t="shared" si="1"/>
        <v>0</v>
      </c>
      <c r="S12" s="724">
        <f t="shared" si="2"/>
        <v>0</v>
      </c>
      <c r="AK12" s="729" t="s">
        <v>237</v>
      </c>
      <c r="AL12" s="697" t="s">
        <v>238</v>
      </c>
      <c r="AM12" s="697" t="s">
        <v>239</v>
      </c>
      <c r="AN12" s="697" t="s">
        <v>240</v>
      </c>
      <c r="AO12" s="745" t="s">
        <v>190</v>
      </c>
      <c r="AP12" s="746"/>
      <c r="AQ12" s="193"/>
      <c r="AR12" s="193"/>
    </row>
    <row r="13" s="357" customFormat="1" ht="18" customHeight="1" spans="1:44">
      <c r="A13" s="357" t="str">
        <v/>
      </c>
      <c r="B13" s="167">
        <v>8</v>
      </c>
      <c r="C13" s="168"/>
      <c r="D13" s="166"/>
      <c r="E13" s="166"/>
      <c r="F13" s="166"/>
      <c r="G13" s="166"/>
      <c r="H13" s="643"/>
      <c r="I13" s="643"/>
      <c r="J13" s="311"/>
      <c r="K13" s="311"/>
      <c r="L13" s="311"/>
      <c r="M13" s="311"/>
      <c r="N13" s="652">
        <f t="shared" ref="N13:N21" si="4">H13+J13-L13</f>
        <v>0</v>
      </c>
      <c r="O13" s="652">
        <f t="shared" ref="O13:O21" si="5">I13+K13-M13</f>
        <v>0</v>
      </c>
      <c r="P13" s="311"/>
      <c r="Q13" s="311"/>
      <c r="R13" s="652">
        <f t="shared" si="1"/>
        <v>0</v>
      </c>
      <c r="S13" s="724">
        <f t="shared" si="2"/>
        <v>0</v>
      </c>
      <c r="AK13" s="733" t="s">
        <v>194</v>
      </c>
      <c r="AL13" s="519">
        <v>48719.79</v>
      </c>
      <c r="AM13" s="519"/>
      <c r="AN13" s="519"/>
      <c r="AO13" s="731">
        <f>AL13+AM13+AN13</f>
        <v>48719.79</v>
      </c>
      <c r="AP13" s="746"/>
      <c r="AQ13" s="193"/>
      <c r="AR13" s="193"/>
    </row>
    <row r="14" s="357" customFormat="1" ht="18" customHeight="1" spans="1:44">
      <c r="A14" s="357" t="str">
        <v/>
      </c>
      <c r="B14" s="167">
        <v>9</v>
      </c>
      <c r="C14" s="168"/>
      <c r="D14" s="166"/>
      <c r="E14" s="166"/>
      <c r="F14" s="166"/>
      <c r="G14" s="166"/>
      <c r="H14" s="643"/>
      <c r="I14" s="643"/>
      <c r="J14" s="311"/>
      <c r="K14" s="311"/>
      <c r="L14" s="311"/>
      <c r="M14" s="311"/>
      <c r="N14" s="652">
        <f t="shared" si="4"/>
        <v>0</v>
      </c>
      <c r="O14" s="652">
        <f t="shared" si="5"/>
        <v>0</v>
      </c>
      <c r="P14" s="311"/>
      <c r="Q14" s="311"/>
      <c r="R14" s="652">
        <f t="shared" si="1"/>
        <v>0</v>
      </c>
      <c r="S14" s="724">
        <f t="shared" si="2"/>
        <v>0</v>
      </c>
      <c r="AK14" s="734" t="str">
        <f>IF(AK5&lt;&gt;AL13,"说明：企业未按照上年度审计报告跟调。","说明：企业已按照上年度审计报告跟调。")</f>
        <v>说明：企业已按照上年度审计报告跟调。</v>
      </c>
      <c r="AL14" s="198"/>
      <c r="AM14" s="198"/>
      <c r="AN14" s="198"/>
      <c r="AO14" s="747">
        <f>AM5-AO13</f>
        <v>0</v>
      </c>
      <c r="AP14" s="341" t="s">
        <v>241</v>
      </c>
      <c r="AQ14" s="193"/>
      <c r="AR14" s="193"/>
    </row>
    <row r="15" s="357" customFormat="1" ht="18" customHeight="1" spans="1:44">
      <c r="A15" s="357" t="str">
        <v/>
      </c>
      <c r="B15" s="167">
        <v>10</v>
      </c>
      <c r="C15" s="168"/>
      <c r="D15" s="166"/>
      <c r="E15" s="166"/>
      <c r="F15" s="166"/>
      <c r="G15" s="166"/>
      <c r="H15" s="643"/>
      <c r="I15" s="643"/>
      <c r="J15" s="311"/>
      <c r="K15" s="311"/>
      <c r="L15" s="311"/>
      <c r="M15" s="311"/>
      <c r="N15" s="652">
        <f t="shared" si="4"/>
        <v>0</v>
      </c>
      <c r="O15" s="652">
        <f t="shared" si="5"/>
        <v>0</v>
      </c>
      <c r="P15" s="311"/>
      <c r="Q15" s="311"/>
      <c r="R15" s="652">
        <f t="shared" si="1"/>
        <v>0</v>
      </c>
      <c r="S15" s="724">
        <f t="shared" si="2"/>
        <v>0</v>
      </c>
      <c r="AQ15" s="193"/>
      <c r="AR15" s="193"/>
    </row>
    <row r="16" s="357" customFormat="1" ht="18" customHeight="1" spans="1:45">
      <c r="A16" s="357" t="str">
        <v/>
      </c>
      <c r="B16" s="167">
        <v>11</v>
      </c>
      <c r="C16" s="168"/>
      <c r="D16" s="166"/>
      <c r="E16" s="166"/>
      <c r="F16" s="166"/>
      <c r="G16" s="166"/>
      <c r="H16" s="643"/>
      <c r="I16" s="643"/>
      <c r="J16" s="311"/>
      <c r="K16" s="311"/>
      <c r="L16" s="311"/>
      <c r="M16" s="311"/>
      <c r="N16" s="652">
        <f t="shared" si="4"/>
        <v>0</v>
      </c>
      <c r="O16" s="652">
        <f t="shared" si="5"/>
        <v>0</v>
      </c>
      <c r="P16" s="311"/>
      <c r="Q16" s="311"/>
      <c r="R16" s="652">
        <f t="shared" si="1"/>
        <v>0</v>
      </c>
      <c r="S16" s="724">
        <f t="shared" si="2"/>
        <v>0</v>
      </c>
      <c r="AL16" s="735" t="s">
        <v>176</v>
      </c>
      <c r="AM16" s="765" t="s">
        <v>177</v>
      </c>
      <c r="AN16" s="765" t="s">
        <v>178</v>
      </c>
      <c r="AO16" s="765" t="s">
        <v>179</v>
      </c>
      <c r="AP16" s="765" t="s">
        <v>180</v>
      </c>
      <c r="AQ16" s="748" t="s">
        <v>181</v>
      </c>
      <c r="AR16" s="748"/>
      <c r="AS16" s="749" t="s">
        <v>182</v>
      </c>
    </row>
    <row r="17" s="357" customFormat="1" ht="18" customHeight="1" spans="1:45">
      <c r="A17" s="357" t="str">
        <v/>
      </c>
      <c r="B17" s="167">
        <v>12</v>
      </c>
      <c r="C17" s="168"/>
      <c r="D17" s="166"/>
      <c r="E17" s="166"/>
      <c r="F17" s="166"/>
      <c r="G17" s="166"/>
      <c r="H17" s="643"/>
      <c r="I17" s="643"/>
      <c r="J17" s="311"/>
      <c r="K17" s="311"/>
      <c r="L17" s="311"/>
      <c r="M17" s="311"/>
      <c r="N17" s="652">
        <f t="shared" si="4"/>
        <v>0</v>
      </c>
      <c r="O17" s="652">
        <f t="shared" si="5"/>
        <v>0</v>
      </c>
      <c r="P17" s="311"/>
      <c r="Q17" s="311"/>
      <c r="R17" s="652">
        <f t="shared" si="1"/>
        <v>0</v>
      </c>
      <c r="S17" s="724">
        <f t="shared" si="2"/>
        <v>0</v>
      </c>
      <c r="AK17" s="193"/>
      <c r="AL17" s="737"/>
      <c r="AM17" s="766"/>
      <c r="AN17" s="766"/>
      <c r="AO17" s="766"/>
      <c r="AP17" s="766"/>
      <c r="AQ17" s="750" t="s">
        <v>183</v>
      </c>
      <c r="AR17" s="750" t="s">
        <v>184</v>
      </c>
      <c r="AS17" s="751"/>
    </row>
    <row r="18" s="357" customFormat="1" ht="18" customHeight="1" spans="1:45">
      <c r="A18" s="357" t="str">
        <v/>
      </c>
      <c r="B18" s="167">
        <v>13</v>
      </c>
      <c r="C18" s="168"/>
      <c r="D18" s="166"/>
      <c r="E18" s="166"/>
      <c r="F18" s="166"/>
      <c r="G18" s="166"/>
      <c r="H18" s="643"/>
      <c r="I18" s="643"/>
      <c r="J18" s="311"/>
      <c r="K18" s="311"/>
      <c r="L18" s="311"/>
      <c r="M18" s="311"/>
      <c r="N18" s="652">
        <f t="shared" si="4"/>
        <v>0</v>
      </c>
      <c r="O18" s="652">
        <f t="shared" si="5"/>
        <v>0</v>
      </c>
      <c r="P18" s="311"/>
      <c r="Q18" s="311"/>
      <c r="R18" s="652">
        <f t="shared" si="1"/>
        <v>0</v>
      </c>
      <c r="S18" s="724">
        <f t="shared" si="2"/>
        <v>0</v>
      </c>
      <c r="AK18" s="193"/>
      <c r="AL18" s="739"/>
      <c r="AM18" s="740"/>
      <c r="AN18" s="740"/>
      <c r="AO18" s="740"/>
      <c r="AP18" s="628"/>
      <c r="AQ18" s="311"/>
      <c r="AR18" s="311"/>
      <c r="AS18" s="629"/>
    </row>
    <row r="19" s="357" customFormat="1" ht="18" customHeight="1" spans="1:45">
      <c r="A19" s="357" t="str">
        <v/>
      </c>
      <c r="B19" s="167">
        <v>14</v>
      </c>
      <c r="C19" s="168"/>
      <c r="D19" s="166"/>
      <c r="E19" s="166"/>
      <c r="F19" s="166"/>
      <c r="G19" s="166"/>
      <c r="H19" s="643"/>
      <c r="I19" s="643"/>
      <c r="J19" s="311"/>
      <c r="K19" s="311"/>
      <c r="L19" s="311"/>
      <c r="M19" s="311"/>
      <c r="N19" s="652">
        <f t="shared" si="4"/>
        <v>0</v>
      </c>
      <c r="O19" s="652">
        <f t="shared" si="5"/>
        <v>0</v>
      </c>
      <c r="P19" s="311"/>
      <c r="Q19" s="311"/>
      <c r="R19" s="652">
        <f t="shared" si="1"/>
        <v>0</v>
      </c>
      <c r="S19" s="724">
        <f t="shared" si="2"/>
        <v>0</v>
      </c>
      <c r="AK19" s="193"/>
      <c r="AL19" s="739"/>
      <c r="AM19" s="740"/>
      <c r="AN19" s="740"/>
      <c r="AO19" s="740"/>
      <c r="AP19" s="628"/>
      <c r="AQ19" s="311"/>
      <c r="AR19" s="311"/>
      <c r="AS19" s="629"/>
    </row>
    <row r="20" s="357" customFormat="1" ht="18" customHeight="1" spans="1:45">
      <c r="A20" s="357" t="str">
        <v/>
      </c>
      <c r="B20" s="167">
        <v>15</v>
      </c>
      <c r="C20" s="168"/>
      <c r="D20" s="166"/>
      <c r="E20" s="166"/>
      <c r="F20" s="166"/>
      <c r="G20" s="166"/>
      <c r="H20" s="643"/>
      <c r="I20" s="643"/>
      <c r="J20" s="311"/>
      <c r="K20" s="311"/>
      <c r="L20" s="311"/>
      <c r="M20" s="311"/>
      <c r="N20" s="652">
        <f t="shared" si="4"/>
        <v>0</v>
      </c>
      <c r="O20" s="652">
        <f t="shared" si="5"/>
        <v>0</v>
      </c>
      <c r="P20" s="311"/>
      <c r="Q20" s="311"/>
      <c r="R20" s="652">
        <f t="shared" si="1"/>
        <v>0</v>
      </c>
      <c r="S20" s="724">
        <f t="shared" si="2"/>
        <v>0</v>
      </c>
      <c r="AK20" s="193"/>
      <c r="AL20" s="739"/>
      <c r="AM20" s="740"/>
      <c r="AN20" s="740"/>
      <c r="AO20" s="740"/>
      <c r="AP20" s="628"/>
      <c r="AQ20" s="311"/>
      <c r="AR20" s="311"/>
      <c r="AS20" s="629"/>
    </row>
    <row r="21" s="357" customFormat="1" ht="18" customHeight="1" spans="1:45">
      <c r="A21" s="357" t="str">
        <v/>
      </c>
      <c r="B21" s="167">
        <v>16</v>
      </c>
      <c r="C21" s="168"/>
      <c r="D21" s="166"/>
      <c r="E21" s="166"/>
      <c r="F21" s="166"/>
      <c r="G21" s="166"/>
      <c r="H21" s="643"/>
      <c r="I21" s="643"/>
      <c r="J21" s="311"/>
      <c r="K21" s="311"/>
      <c r="L21" s="311"/>
      <c r="M21" s="311"/>
      <c r="N21" s="652">
        <f t="shared" si="4"/>
        <v>0</v>
      </c>
      <c r="O21" s="652">
        <f t="shared" si="5"/>
        <v>0</v>
      </c>
      <c r="P21" s="311"/>
      <c r="Q21" s="311"/>
      <c r="R21" s="652">
        <f t="shared" si="1"/>
        <v>0</v>
      </c>
      <c r="S21" s="724">
        <f t="shared" si="2"/>
        <v>0</v>
      </c>
      <c r="AK21" s="193"/>
      <c r="AL21" s="739"/>
      <c r="AM21" s="740"/>
      <c r="AN21" s="740"/>
      <c r="AO21" s="740"/>
      <c r="AP21" s="628"/>
      <c r="AQ21" s="311"/>
      <c r="AR21" s="311"/>
      <c r="AS21" s="629"/>
    </row>
    <row r="22" s="357" customFormat="1" ht="18" customHeight="1" spans="2:45">
      <c r="B22" s="167">
        <v>17</v>
      </c>
      <c r="C22" s="168"/>
      <c r="D22" s="166"/>
      <c r="E22" s="166"/>
      <c r="F22" s="166"/>
      <c r="G22" s="166"/>
      <c r="H22" s="643"/>
      <c r="I22" s="643"/>
      <c r="J22" s="311"/>
      <c r="K22" s="311"/>
      <c r="L22" s="311"/>
      <c r="M22" s="311"/>
      <c r="N22" s="652">
        <f t="shared" si="0"/>
        <v>0</v>
      </c>
      <c r="O22" s="652">
        <f t="shared" si="3"/>
        <v>0</v>
      </c>
      <c r="P22" s="311"/>
      <c r="Q22" s="311"/>
      <c r="R22" s="652">
        <f t="shared" si="1"/>
        <v>0</v>
      </c>
      <c r="S22" s="724">
        <f t="shared" si="2"/>
        <v>0</v>
      </c>
      <c r="AK22" s="193"/>
      <c r="AL22" s="739"/>
      <c r="AM22" s="740"/>
      <c r="AN22" s="740"/>
      <c r="AO22" s="740"/>
      <c r="AP22" s="628"/>
      <c r="AQ22" s="311"/>
      <c r="AR22" s="311"/>
      <c r="AS22" s="629"/>
    </row>
    <row r="23" s="357" customFormat="1" ht="18" customHeight="1" spans="2:45">
      <c r="B23" s="167">
        <v>18</v>
      </c>
      <c r="C23" s="168"/>
      <c r="D23" s="166"/>
      <c r="E23" s="166"/>
      <c r="F23" s="166"/>
      <c r="G23" s="166"/>
      <c r="H23" s="643"/>
      <c r="I23" s="643"/>
      <c r="J23" s="311"/>
      <c r="K23" s="311"/>
      <c r="L23" s="311"/>
      <c r="M23" s="311"/>
      <c r="N23" s="652">
        <f t="shared" si="0"/>
        <v>0</v>
      </c>
      <c r="O23" s="652">
        <f t="shared" si="3"/>
        <v>0</v>
      </c>
      <c r="P23" s="311"/>
      <c r="Q23" s="311"/>
      <c r="R23" s="652">
        <f t="shared" si="1"/>
        <v>0</v>
      </c>
      <c r="S23" s="724">
        <f t="shared" si="2"/>
        <v>0</v>
      </c>
      <c r="AK23" s="193"/>
      <c r="AL23" s="741"/>
      <c r="AM23" s="740"/>
      <c r="AN23" s="740"/>
      <c r="AO23" s="740"/>
      <c r="AP23" s="752"/>
      <c r="AQ23" s="753"/>
      <c r="AR23" s="753"/>
      <c r="AS23" s="754"/>
    </row>
    <row r="24" s="357" customFormat="1" ht="18" customHeight="1" spans="2:45">
      <c r="B24" s="167">
        <v>19</v>
      </c>
      <c r="C24" s="168"/>
      <c r="D24" s="166"/>
      <c r="E24" s="166"/>
      <c r="F24" s="166"/>
      <c r="G24" s="166"/>
      <c r="H24" s="643"/>
      <c r="I24" s="643"/>
      <c r="J24" s="311"/>
      <c r="K24" s="311"/>
      <c r="L24" s="311"/>
      <c r="M24" s="311"/>
      <c r="N24" s="652">
        <f t="shared" si="0"/>
        <v>0</v>
      </c>
      <c r="O24" s="652">
        <f t="shared" si="3"/>
        <v>0</v>
      </c>
      <c r="P24" s="311"/>
      <c r="Q24" s="311"/>
      <c r="R24" s="652">
        <f t="shared" si="1"/>
        <v>0</v>
      </c>
      <c r="S24" s="724">
        <f t="shared" si="2"/>
        <v>0</v>
      </c>
      <c r="AK24" s="193"/>
      <c r="AL24" s="739"/>
      <c r="AM24" s="740"/>
      <c r="AN24" s="740"/>
      <c r="AO24" s="740"/>
      <c r="AP24" s="628"/>
      <c r="AQ24" s="311"/>
      <c r="AR24" s="311"/>
      <c r="AS24" s="629"/>
    </row>
    <row r="25" s="357" customFormat="1" ht="18" customHeight="1" spans="2:45">
      <c r="B25" s="167">
        <v>20</v>
      </c>
      <c r="C25" s="168"/>
      <c r="D25" s="166"/>
      <c r="E25" s="166"/>
      <c r="F25" s="166"/>
      <c r="G25" s="166"/>
      <c r="H25" s="643"/>
      <c r="I25" s="643"/>
      <c r="J25" s="311"/>
      <c r="K25" s="311"/>
      <c r="L25" s="311"/>
      <c r="M25" s="311"/>
      <c r="N25" s="652">
        <f t="shared" si="0"/>
        <v>0</v>
      </c>
      <c r="O25" s="652">
        <f t="shared" si="3"/>
        <v>0</v>
      </c>
      <c r="P25" s="311"/>
      <c r="Q25" s="311"/>
      <c r="R25" s="652">
        <f t="shared" si="1"/>
        <v>0</v>
      </c>
      <c r="S25" s="724">
        <f t="shared" si="2"/>
        <v>0</v>
      </c>
      <c r="AK25" s="193"/>
      <c r="AL25" s="307"/>
      <c r="AM25" s="740"/>
      <c r="AN25" s="740"/>
      <c r="AO25" s="740"/>
      <c r="AP25" s="755"/>
      <c r="AQ25" s="219"/>
      <c r="AR25" s="219"/>
      <c r="AS25" s="756"/>
    </row>
    <row r="26" s="693" customFormat="1" ht="18" customHeight="1" spans="2:45">
      <c r="B26" s="705" t="s">
        <v>196</v>
      </c>
      <c r="C26" s="706"/>
      <c r="D26" s="707"/>
      <c r="E26" s="707"/>
      <c r="F26" s="708"/>
      <c r="G26" s="708"/>
      <c r="H26" s="325">
        <f>SUM(H6:H25)</f>
        <v>48719.79</v>
      </c>
      <c r="I26" s="325">
        <f>SUM(I6:I25)</f>
        <v>48719.79</v>
      </c>
      <c r="J26" s="325">
        <f t="shared" ref="J26:S26" si="6">SUM(J6:J25)</f>
        <v>6431271.39</v>
      </c>
      <c r="K26" s="325">
        <f t="shared" si="6"/>
        <v>6431271.39</v>
      </c>
      <c r="L26" s="325">
        <f t="shared" si="6"/>
        <v>6264043.55</v>
      </c>
      <c r="M26" s="325">
        <f t="shared" si="6"/>
        <v>6264043.55</v>
      </c>
      <c r="N26" s="325">
        <f t="shared" si="6"/>
        <v>215947.63</v>
      </c>
      <c r="O26" s="325">
        <f t="shared" si="6"/>
        <v>215947.63</v>
      </c>
      <c r="P26" s="325">
        <f t="shared" si="6"/>
        <v>0</v>
      </c>
      <c r="Q26" s="325">
        <f t="shared" si="6"/>
        <v>0</v>
      </c>
      <c r="R26" s="325">
        <f t="shared" si="6"/>
        <v>215947.63</v>
      </c>
      <c r="S26" s="725">
        <f t="shared" si="6"/>
        <v>215947.63</v>
      </c>
      <c r="AK26" s="341"/>
      <c r="AL26" s="307"/>
      <c r="AM26" s="740"/>
      <c r="AN26" s="740"/>
      <c r="AO26" s="740"/>
      <c r="AP26" s="755"/>
      <c r="AQ26" s="219"/>
      <c r="AR26" s="219"/>
      <c r="AS26" s="756"/>
    </row>
    <row r="27" s="357" customFormat="1" ht="18" customHeight="1" spans="37:45">
      <c r="AK27" s="193"/>
      <c r="AL27" s="307"/>
      <c r="AM27" s="740"/>
      <c r="AN27" s="740"/>
      <c r="AO27" s="740"/>
      <c r="AP27" s="755"/>
      <c r="AQ27" s="219"/>
      <c r="AR27" s="219"/>
      <c r="AS27" s="756"/>
    </row>
    <row r="28" s="143" customFormat="1" ht="18" customHeight="1" spans="2:45">
      <c r="B28" s="709" t="s">
        <v>198</v>
      </c>
      <c r="C28" s="710"/>
      <c r="D28" s="275"/>
      <c r="E28" s="275"/>
      <c r="F28" s="275"/>
      <c r="G28" s="275"/>
      <c r="H28" s="275"/>
      <c r="I28" s="275"/>
      <c r="J28" s="275"/>
      <c r="K28" s="275"/>
      <c r="L28" s="275"/>
      <c r="M28" s="275"/>
      <c r="N28" s="275"/>
      <c r="O28" s="275"/>
      <c r="P28" s="275"/>
      <c r="Q28" s="275"/>
      <c r="R28" s="275"/>
      <c r="S28" s="275"/>
      <c r="AL28" s="307"/>
      <c r="AM28" s="740"/>
      <c r="AN28" s="740"/>
      <c r="AO28" s="740"/>
      <c r="AP28" s="755"/>
      <c r="AQ28" s="219"/>
      <c r="AR28" s="219"/>
      <c r="AS28" s="756"/>
    </row>
    <row r="29" s="143" customFormat="1" ht="18" customHeight="1" spans="2:45">
      <c r="B29" s="711" t="s">
        <v>258</v>
      </c>
      <c r="C29" s="712"/>
      <c r="D29" s="712"/>
      <c r="E29" s="712"/>
      <c r="F29" s="712"/>
      <c r="G29" s="712"/>
      <c r="H29" s="712"/>
      <c r="I29" s="712"/>
      <c r="J29" s="712"/>
      <c r="K29" s="712"/>
      <c r="L29" s="712"/>
      <c r="M29" s="712"/>
      <c r="N29" s="712"/>
      <c r="O29" s="712"/>
      <c r="P29" s="712"/>
      <c r="Q29" s="712"/>
      <c r="R29" s="712"/>
      <c r="S29" s="726"/>
      <c r="AL29" s="739"/>
      <c r="AM29" s="740"/>
      <c r="AN29" s="740"/>
      <c r="AO29" s="740"/>
      <c r="AP29" s="628"/>
      <c r="AQ29" s="311"/>
      <c r="AR29" s="311"/>
      <c r="AS29" s="629"/>
    </row>
    <row r="30" s="143" customFormat="1" ht="17.25" customHeight="1" spans="2:45">
      <c r="B30" s="713"/>
      <c r="S30" s="727"/>
      <c r="AL30" s="739"/>
      <c r="AM30" s="740"/>
      <c r="AN30" s="740"/>
      <c r="AO30" s="740"/>
      <c r="AP30" s="628"/>
      <c r="AQ30" s="311"/>
      <c r="AR30" s="311"/>
      <c r="AS30" s="629"/>
    </row>
    <row r="31" s="143" customFormat="1" ht="17.25" customHeight="1" spans="2:45">
      <c r="B31" s="714"/>
      <c r="C31" s="715"/>
      <c r="D31" s="715"/>
      <c r="E31" s="715"/>
      <c r="F31" s="715"/>
      <c r="G31" s="715"/>
      <c r="H31" s="715"/>
      <c r="I31" s="715"/>
      <c r="J31" s="715"/>
      <c r="K31" s="715"/>
      <c r="L31" s="715"/>
      <c r="M31" s="715"/>
      <c r="N31" s="715"/>
      <c r="O31" s="715"/>
      <c r="P31" s="715"/>
      <c r="Q31" s="715"/>
      <c r="R31" s="715"/>
      <c r="S31" s="728"/>
      <c r="AL31" s="742"/>
      <c r="AM31" s="740"/>
      <c r="AN31" s="740"/>
      <c r="AO31" s="740"/>
      <c r="AP31" s="757"/>
      <c r="AQ31" s="758"/>
      <c r="AR31" s="758"/>
      <c r="AS31" s="759"/>
    </row>
    <row r="32" s="357" customFormat="1" spans="37:45">
      <c r="AK32" s="193"/>
      <c r="AL32" s="742"/>
      <c r="AM32" s="740"/>
      <c r="AN32" s="740"/>
      <c r="AO32" s="740"/>
      <c r="AP32" s="757"/>
      <c r="AQ32" s="760"/>
      <c r="AR32" s="760"/>
      <c r="AS32" s="759"/>
    </row>
    <row r="33" s="357" customFormat="1" spans="2:45">
      <c r="B33" s="716"/>
      <c r="C33" s="716"/>
      <c r="AK33" s="193"/>
      <c r="AL33" s="742"/>
      <c r="AM33" s="740"/>
      <c r="AN33" s="740"/>
      <c r="AO33" s="740"/>
      <c r="AP33" s="757"/>
      <c r="AQ33" s="760"/>
      <c r="AR33" s="760"/>
      <c r="AS33" s="759"/>
    </row>
    <row r="34" s="694" customFormat="1" spans="2:45">
      <c r="B34" s="555" t="s">
        <v>172</v>
      </c>
      <c r="C34" s="555"/>
      <c r="AK34" s="356"/>
      <c r="AL34" s="739"/>
      <c r="AM34" s="740"/>
      <c r="AN34" s="740"/>
      <c r="AO34" s="740"/>
      <c r="AP34" s="628"/>
      <c r="AQ34" s="311"/>
      <c r="AR34" s="311"/>
      <c r="AS34" s="629"/>
    </row>
    <row r="35" s="356" customFormat="1" ht="13" spans="2:45">
      <c r="B35" s="555" t="s">
        <v>259</v>
      </c>
      <c r="C35" s="555"/>
      <c r="AL35" s="739"/>
      <c r="AM35" s="740"/>
      <c r="AN35" s="740"/>
      <c r="AO35" s="740"/>
      <c r="AP35" s="628"/>
      <c r="AQ35" s="311"/>
      <c r="AR35" s="311"/>
      <c r="AS35" s="629"/>
    </row>
    <row r="36" s="694" customFormat="1" ht="16.25" spans="2:45">
      <c r="B36" s="555" t="s">
        <v>260</v>
      </c>
      <c r="C36" s="555"/>
      <c r="AK36" s="356"/>
      <c r="AL36" s="743"/>
      <c r="AM36" s="744"/>
      <c r="AN36" s="744"/>
      <c r="AO36" s="744"/>
      <c r="AP36" s="761"/>
      <c r="AQ36" s="519"/>
      <c r="AR36" s="519"/>
      <c r="AS36" s="762"/>
    </row>
    <row r="38" s="357" customFormat="1" spans="37:37">
      <c r="AK38" s="193"/>
    </row>
    <row r="39" s="357" customFormat="1" spans="37:37">
      <c r="AK39" s="193"/>
    </row>
    <row r="40" s="357" customFormat="1" spans="37:44">
      <c r="AK40" s="193"/>
      <c r="AL40" s="193"/>
      <c r="AM40" s="193"/>
      <c r="AN40" s="193"/>
      <c r="AO40" s="193"/>
      <c r="AP40" s="193"/>
      <c r="AQ40" s="193"/>
      <c r="AR40" s="193"/>
    </row>
    <row r="41" s="357" customFormat="1" spans="10:44">
      <c r="J41" s="522"/>
      <c r="K41" s="522"/>
      <c r="L41" s="522"/>
      <c r="AK41" s="193"/>
      <c r="AL41" s="193"/>
      <c r="AM41" s="193"/>
      <c r="AN41" s="193"/>
      <c r="AO41" s="193"/>
      <c r="AP41" s="193"/>
      <c r="AQ41" s="193"/>
      <c r="AR41" s="193"/>
    </row>
    <row r="42" s="357" customFormat="1" spans="9:44">
      <c r="I42" s="522"/>
      <c r="O42" s="522"/>
      <c r="AK42" s="193"/>
      <c r="AL42" s="193"/>
      <c r="AM42" s="193"/>
      <c r="AN42" s="193"/>
      <c r="AO42" s="193"/>
      <c r="AP42" s="193"/>
      <c r="AQ42" s="193"/>
      <c r="AR42" s="193"/>
    </row>
    <row r="43" s="357" customFormat="1" spans="15:44">
      <c r="O43" s="522"/>
      <c r="AK43" s="193"/>
      <c r="AL43" s="193"/>
      <c r="AM43" s="193"/>
      <c r="AN43" s="193"/>
      <c r="AO43" s="193"/>
      <c r="AP43" s="193"/>
      <c r="AQ43" s="193"/>
      <c r="AR43" s="193"/>
    </row>
    <row r="44" s="357" customFormat="1" spans="37:44">
      <c r="AK44" s="193"/>
      <c r="AL44" s="193"/>
      <c r="AM44" s="193"/>
      <c r="AN44" s="193"/>
      <c r="AO44" s="193"/>
      <c r="AP44" s="193"/>
      <c r="AQ44" s="193"/>
      <c r="AR44" s="193"/>
    </row>
    <row r="45" s="357" customFormat="1" spans="37:44">
      <c r="AK45" s="193"/>
      <c r="AL45" s="193"/>
      <c r="AM45" s="193"/>
      <c r="AN45" s="193"/>
      <c r="AO45" s="193"/>
      <c r="AP45" s="193"/>
      <c r="AQ45" s="193"/>
      <c r="AR45" s="193"/>
    </row>
    <row r="46" s="357" customFormat="1" spans="37:44">
      <c r="AK46" s="193"/>
      <c r="AL46" s="193"/>
      <c r="AM46" s="193"/>
      <c r="AN46" s="193"/>
      <c r="AO46" s="193"/>
      <c r="AP46" s="193"/>
      <c r="AQ46" s="193"/>
      <c r="AR46" s="193"/>
    </row>
    <row r="47" s="357" customFormat="1" spans="13:44">
      <c r="M47" s="522"/>
      <c r="AK47" s="193"/>
      <c r="AL47" s="193"/>
      <c r="AM47" s="193"/>
      <c r="AN47" s="193"/>
      <c r="AO47" s="193"/>
      <c r="AP47" s="193"/>
      <c r="AQ47" s="193"/>
      <c r="AR47" s="193"/>
    </row>
    <row r="48" s="357" customFormat="1" spans="37:44">
      <c r="AK48" s="193"/>
      <c r="AL48" s="193"/>
      <c r="AM48" s="193"/>
      <c r="AN48" s="193"/>
      <c r="AO48" s="193"/>
      <c r="AP48" s="193"/>
      <c r="AQ48" s="193"/>
      <c r="AR48" s="193"/>
    </row>
    <row r="49" s="357" customFormat="1" spans="37:44">
      <c r="AK49" s="193"/>
      <c r="AL49" s="193"/>
      <c r="AM49" s="193"/>
      <c r="AN49" s="193"/>
      <c r="AO49" s="193"/>
      <c r="AP49" s="193"/>
      <c r="AQ49" s="193"/>
      <c r="AR49" s="193"/>
    </row>
    <row r="50" s="357" customFormat="1" spans="37:44">
      <c r="AK50" s="193"/>
      <c r="AL50" s="193"/>
      <c r="AM50" s="193"/>
      <c r="AN50" s="193"/>
      <c r="AO50" s="193"/>
      <c r="AP50" s="193"/>
      <c r="AQ50" s="193"/>
      <c r="AR50" s="193"/>
    </row>
    <row r="51" s="357" customFormat="1" spans="37:44">
      <c r="AK51" s="193"/>
      <c r="AL51" s="193"/>
      <c r="AM51" s="193"/>
      <c r="AN51" s="193"/>
      <c r="AO51" s="193"/>
      <c r="AP51" s="193"/>
      <c r="AQ51" s="193"/>
      <c r="AR51" s="193"/>
    </row>
    <row r="52" s="357" customFormat="1" spans="37:44">
      <c r="AK52" s="193"/>
      <c r="AL52" s="193"/>
      <c r="AM52" s="193"/>
      <c r="AN52" s="193"/>
      <c r="AO52" s="193"/>
      <c r="AP52" s="193"/>
      <c r="AQ52" s="193"/>
      <c r="AR52" s="193"/>
    </row>
    <row r="53" s="357" customFormat="1" spans="15:44">
      <c r="O53" s="522"/>
      <c r="AK53" s="193"/>
      <c r="AL53" s="193"/>
      <c r="AM53" s="193"/>
      <c r="AN53" s="193"/>
      <c r="AO53" s="193"/>
      <c r="AP53" s="193"/>
      <c r="AQ53" s="193"/>
      <c r="AR53" s="193"/>
    </row>
    <row r="54" spans="15:15">
      <c r="O54" s="522"/>
    </row>
    <row r="55" spans="13:13">
      <c r="M55" s="522"/>
    </row>
    <row r="57" spans="15:18">
      <c r="O57" s="522"/>
      <c r="P57" s="357"/>
      <c r="Q57" s="357"/>
      <c r="R57" s="357"/>
    </row>
    <row r="58" spans="15:18">
      <c r="O58" s="522"/>
      <c r="P58" s="357"/>
      <c r="Q58" s="357"/>
      <c r="R58" s="357"/>
    </row>
    <row r="59" spans="15:18">
      <c r="O59" s="522"/>
      <c r="P59" s="357"/>
      <c r="Q59" s="357"/>
      <c r="R59" s="357"/>
    </row>
    <row r="60" spans="15:18">
      <c r="O60" s="522"/>
      <c r="P60" s="357"/>
      <c r="Q60" s="357"/>
      <c r="R60" s="357"/>
    </row>
    <row r="64" spans="13:15">
      <c r="M64" s="522"/>
      <c r="O64" s="522"/>
    </row>
    <row r="65" spans="15:18">
      <c r="O65" s="522"/>
      <c r="P65" s="357"/>
      <c r="Q65" s="357"/>
      <c r="R65" s="357"/>
    </row>
    <row r="66" spans="15:18">
      <c r="O66" s="522"/>
      <c r="P66" s="357"/>
      <c r="Q66" s="357"/>
      <c r="R66" s="357"/>
    </row>
    <row r="67" spans="15:18">
      <c r="O67" s="522"/>
      <c r="P67" s="357"/>
      <c r="Q67" s="357"/>
      <c r="R67" s="357"/>
    </row>
    <row r="68" spans="15:18">
      <c r="O68" s="522"/>
      <c r="P68" s="357"/>
      <c r="Q68" s="357"/>
      <c r="R68" s="357"/>
    </row>
    <row r="69" spans="15:15">
      <c r="O69" s="522"/>
    </row>
    <row r="70" spans="15:18">
      <c r="O70" s="522"/>
      <c r="P70" s="357"/>
      <c r="Q70" s="357"/>
      <c r="R70" s="357"/>
    </row>
    <row r="71" spans="15:18">
      <c r="O71" s="522"/>
      <c r="P71" s="357"/>
      <c r="Q71" s="357"/>
      <c r="R71" s="357"/>
    </row>
  </sheetData>
  <mergeCells count="20">
    <mergeCell ref="H4:I4"/>
    <mergeCell ref="J4:K4"/>
    <mergeCell ref="L4:M4"/>
    <mergeCell ref="N4:O4"/>
    <mergeCell ref="P4:Q4"/>
    <mergeCell ref="R4:S4"/>
    <mergeCell ref="AQ16:AR16"/>
    <mergeCell ref="B26:E26"/>
    <mergeCell ref="B4:B5"/>
    <mergeCell ref="C4:C5"/>
    <mergeCell ref="D4:D5"/>
    <mergeCell ref="E4:E5"/>
    <mergeCell ref="F4:F5"/>
    <mergeCell ref="G4:G5"/>
    <mergeCell ref="AL16:AL17"/>
    <mergeCell ref="AM16:AM17"/>
    <mergeCell ref="AN16:AN17"/>
    <mergeCell ref="AO16:AO17"/>
    <mergeCell ref="AP16:AP17"/>
    <mergeCell ref="AS16:AS17"/>
  </mergeCells>
  <conditionalFormatting sqref="AP14">
    <cfRule type="expression" dxfId="1" priority="1">
      <formula>$AO$14&lt;&gt;0</formula>
    </cfRule>
  </conditionalFormatting>
  <dataValidations count="4">
    <dataValidation type="list" allowBlank="1" showInputMessage="1" showErrorMessage="1" sqref="AK8:AK10">
      <formula1>"√,×"</formula1>
    </dataValidation>
    <dataValidation type="list" allowBlank="1" showInputMessage="1" showErrorMessage="1" sqref="AM18:AM36">
      <formula1>科目表</formula1>
    </dataValidation>
    <dataValidation type="list" allowBlank="1" showInputMessage="1" showErrorMessage="1" sqref="AN18:AN36">
      <formula1>二级科目</formula1>
    </dataValidation>
    <dataValidation type="list" allowBlank="1" showInputMessage="1" showErrorMessage="1" sqref="AO18:AO36">
      <formula1>三级科目</formula1>
    </dataValidation>
  </dataValidations>
  <hyperlinks>
    <hyperlink ref="A1" location="'目录'!C8" display="&lt;&lt;"/>
  </hyperlinks>
  <printOptions horizontalCentered="1"/>
  <pageMargins left="0.196850393700787" right="0.196850393700787" top="0.984251968503937" bottom="0.984251968503937" header="0.511811023622047" footer="0.511811023622047"/>
  <pageSetup paperSize="9" scale="74" orientation="landscape" blackAndWhite="1"/>
  <headerFooter alignWithMargins="0"/>
  <legacyDrawing r:id="rId2"/>
  <extLst>
    <ext xmlns:x14="http://schemas.microsoft.com/office/spreadsheetml/2009/9/main" uri="{78C0D931-6437-407d-A8EE-F0AAD7539E65}">
      <x14:conditionalFormattings>
        <x14:conditionalFormatting xmlns:xm="http://schemas.microsoft.com/office/excel/2006/main">
          <x14:cfRule type="iconSet" priority="3" id="{4ac5419d-e429-4795-a45e-25be4b1d13f0}">
            <x14:iconSet iconSet="3Symbols2" custom="1">
              <x14:cfvo type="percent">
                <xm:f>0</xm:f>
              </x14:cfvo>
              <x14:cfvo type="num" gte="0">
                <xm:f>-0.001</xm:f>
              </x14:cfvo>
              <x14:cfvo type="num" gte="0">
                <xm:f>0.001</xm:f>
              </x14:cfvo>
              <x14:cfIcon iconSet="3Symbols2" iconId="0"/>
              <x14:cfIcon iconSet="3Symbols2" iconId="2"/>
              <x14:cfIcon iconSet="3Symbols2" iconId="0"/>
            </x14:iconSet>
          </x14:cfRule>
          <xm:sqref>AO14</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AS53"/>
  <sheetViews>
    <sheetView showGridLines="0" showZeros="0" zoomScale="72" zoomScaleNormal="72" zoomScaleSheetLayoutView="99" workbookViewId="0">
      <pane ySplit="5" topLeftCell="A6" activePane="bottomLeft" state="frozen"/>
      <selection/>
      <selection pane="bottomLeft" activeCell="G22" sqref="G22"/>
    </sheetView>
  </sheetViews>
  <sheetFormatPr defaultColWidth="9" defaultRowHeight="15.5"/>
  <cols>
    <col min="1" max="1" width="2.6" style="695" customWidth="1"/>
    <col min="2" max="3" width="8.1" style="695" customWidth="1"/>
    <col min="4" max="5" width="17.9" style="695" customWidth="1"/>
    <col min="6" max="7" width="9" style="695"/>
    <col min="8" max="19" width="10.4" style="695" customWidth="1"/>
    <col min="20" max="20" width="9" style="695"/>
    <col min="21" max="36" width="9" style="695" hidden="1" customWidth="1" outlineLevel="1"/>
    <col min="37" max="37" width="12.9" style="621" customWidth="1" collapsed="1"/>
    <col min="38" max="44" width="12.9" style="621" customWidth="1"/>
    <col min="45" max="45" width="11.6" style="695" customWidth="1"/>
    <col min="46" max="16384" width="9" style="695"/>
  </cols>
  <sheetData>
    <row r="1" s="140" customFormat="1" ht="28.5" customHeight="1" spans="1:19">
      <c r="A1" s="65" t="s">
        <v>58</v>
      </c>
      <c r="B1" s="359" t="s">
        <v>34</v>
      </c>
      <c r="C1" s="360"/>
      <c r="D1" s="360"/>
      <c r="E1" s="360"/>
      <c r="F1" s="360"/>
      <c r="G1" s="360"/>
      <c r="H1" s="360"/>
      <c r="I1" s="360"/>
      <c r="J1" s="360"/>
      <c r="K1" s="360"/>
      <c r="L1" s="360"/>
      <c r="M1" s="360"/>
      <c r="N1" s="360"/>
      <c r="O1" s="360"/>
      <c r="P1" s="360"/>
      <c r="Q1" s="360"/>
      <c r="R1" s="153" t="s">
        <v>59</v>
      </c>
      <c r="S1" s="126" t="str">
        <f>目录!E9</f>
        <v>1010-3-3</v>
      </c>
    </row>
    <row r="2" s="140" customFormat="1" ht="26.1" customHeight="1" spans="2:19">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93"/>
      <c r="E2" s="153"/>
      <c r="F2" s="153"/>
      <c r="G2" s="153"/>
      <c r="H2" s="153"/>
      <c r="I2" s="153"/>
      <c r="J2" s="153"/>
      <c r="K2" s="153"/>
      <c r="L2" s="153"/>
      <c r="M2" s="153"/>
      <c r="N2" s="153"/>
      <c r="O2" s="153"/>
      <c r="P2" s="153"/>
      <c r="Q2" s="153"/>
      <c r="R2" s="153"/>
      <c r="S2" s="153"/>
    </row>
    <row r="3" s="242" customFormat="1" ht="12" customHeight="1" spans="37:39">
      <c r="AK3" s="342" t="s">
        <v>222</v>
      </c>
      <c r="AL3" s="193"/>
      <c r="AM3" s="193"/>
    </row>
    <row r="4" s="357" customFormat="1" ht="18" customHeight="1" spans="2:44">
      <c r="B4" s="696" t="s">
        <v>79</v>
      </c>
      <c r="C4" s="697" t="s">
        <v>223</v>
      </c>
      <c r="D4" s="697" t="s">
        <v>246</v>
      </c>
      <c r="E4" s="697" t="s">
        <v>247</v>
      </c>
      <c r="F4" s="697" t="s">
        <v>224</v>
      </c>
      <c r="G4" s="698" t="s">
        <v>248</v>
      </c>
      <c r="H4" s="699" t="s">
        <v>225</v>
      </c>
      <c r="I4" s="717"/>
      <c r="J4" s="718" t="s">
        <v>249</v>
      </c>
      <c r="K4" s="719"/>
      <c r="L4" s="718" t="s">
        <v>250</v>
      </c>
      <c r="M4" s="719"/>
      <c r="N4" s="718" t="s">
        <v>226</v>
      </c>
      <c r="O4" s="719"/>
      <c r="P4" s="720" t="s">
        <v>227</v>
      </c>
      <c r="Q4" s="721"/>
      <c r="R4" s="720" t="s">
        <v>228</v>
      </c>
      <c r="S4" s="722"/>
      <c r="AK4" s="729" t="s">
        <v>225</v>
      </c>
      <c r="AL4" s="344" t="s">
        <v>229</v>
      </c>
      <c r="AM4" s="345" t="s">
        <v>190</v>
      </c>
      <c r="AN4" s="193"/>
      <c r="AO4" s="193"/>
      <c r="AP4" s="193"/>
      <c r="AQ4" s="193"/>
      <c r="AR4" s="193"/>
    </row>
    <row r="5" s="357" customFormat="1" ht="18" customHeight="1" spans="2:44">
      <c r="B5" s="700"/>
      <c r="C5" s="701"/>
      <c r="D5" s="701"/>
      <c r="E5" s="701"/>
      <c r="F5" s="701"/>
      <c r="G5" s="702"/>
      <c r="H5" s="703" t="s">
        <v>230</v>
      </c>
      <c r="I5" s="703" t="s">
        <v>231</v>
      </c>
      <c r="J5" s="703" t="s">
        <v>230</v>
      </c>
      <c r="K5" s="703" t="s">
        <v>231</v>
      </c>
      <c r="L5" s="703" t="s">
        <v>230</v>
      </c>
      <c r="M5" s="703" t="s">
        <v>231</v>
      </c>
      <c r="N5" s="703" t="s">
        <v>230</v>
      </c>
      <c r="O5" s="703" t="s">
        <v>231</v>
      </c>
      <c r="P5" s="703" t="s">
        <v>230</v>
      </c>
      <c r="Q5" s="703" t="s">
        <v>231</v>
      </c>
      <c r="R5" s="703" t="s">
        <v>230</v>
      </c>
      <c r="S5" s="723" t="s">
        <v>231</v>
      </c>
      <c r="AK5" s="730">
        <f>I21</f>
        <v>2326906.73</v>
      </c>
      <c r="AL5" s="519"/>
      <c r="AM5" s="731">
        <f>AK5+AL5</f>
        <v>2326906.73</v>
      </c>
      <c r="AN5" s="193"/>
      <c r="AO5" s="193"/>
      <c r="AP5" s="193"/>
      <c r="AQ5" s="193"/>
      <c r="AR5" s="193"/>
    </row>
    <row r="6" s="357" customFormat="1" ht="18" customHeight="1" spans="1:44">
      <c r="A6" s="357" t="str">
        <f t="array" ref="A6:A18">""</f>
        <v/>
      </c>
      <c r="B6" s="167">
        <v>1</v>
      </c>
      <c r="C6" s="168" t="s">
        <v>261</v>
      </c>
      <c r="D6" s="704" t="s">
        <v>262</v>
      </c>
      <c r="E6" s="166" t="s">
        <v>263</v>
      </c>
      <c r="F6" s="166" t="s">
        <v>253</v>
      </c>
      <c r="G6" s="704" t="s">
        <v>264</v>
      </c>
      <c r="H6" s="311">
        <v>1379736.46</v>
      </c>
      <c r="I6" s="311">
        <v>1379736.46</v>
      </c>
      <c r="J6" s="311">
        <v>2563.22</v>
      </c>
      <c r="K6" s="311">
        <v>2563.22</v>
      </c>
      <c r="L6" s="311">
        <f>0</f>
        <v>0</v>
      </c>
      <c r="M6" s="311">
        <f>0</f>
        <v>0</v>
      </c>
      <c r="N6" s="652">
        <f>H6+J6-L6</f>
        <v>1382299.68</v>
      </c>
      <c r="O6" s="652">
        <f>I6+K6-M6</f>
        <v>1382299.68</v>
      </c>
      <c r="P6" s="311"/>
      <c r="Q6" s="311"/>
      <c r="R6" s="652">
        <f>N6+P6</f>
        <v>1382299.68</v>
      </c>
      <c r="S6" s="724">
        <f>ROUND(O6+Q6,2)</f>
        <v>1382299.68</v>
      </c>
      <c r="AN6" s="193"/>
      <c r="AO6" s="193"/>
      <c r="AP6" s="193"/>
      <c r="AQ6" s="193"/>
      <c r="AR6" s="193"/>
    </row>
    <row r="7" s="357" customFormat="1" ht="18" customHeight="1" spans="1:44">
      <c r="A7" s="357" t="str">
        <v/>
      </c>
      <c r="B7" s="167">
        <v>2</v>
      </c>
      <c r="C7" s="168" t="s">
        <v>261</v>
      </c>
      <c r="D7" s="704" t="s">
        <v>265</v>
      </c>
      <c r="E7" s="166" t="s">
        <v>266</v>
      </c>
      <c r="F7" s="166" t="s">
        <v>253</v>
      </c>
      <c r="G7" s="704" t="s">
        <v>264</v>
      </c>
      <c r="H7" s="311">
        <v>947170.27</v>
      </c>
      <c r="I7" s="311">
        <v>947170.27</v>
      </c>
      <c r="J7" s="311">
        <v>61130.17</v>
      </c>
      <c r="K7" s="311">
        <v>61130.17</v>
      </c>
      <c r="L7" s="311">
        <f>0</f>
        <v>0</v>
      </c>
      <c r="M7" s="311">
        <f>0</f>
        <v>0</v>
      </c>
      <c r="N7" s="652">
        <f t="shared" ref="N7:N20" si="0">H7+J7-L7</f>
        <v>1008300.44</v>
      </c>
      <c r="O7" s="652">
        <f t="shared" ref="O7:O20" si="1">I7+K7-M7</f>
        <v>1008300.44</v>
      </c>
      <c r="P7" s="311"/>
      <c r="Q7" s="311"/>
      <c r="R7" s="652">
        <f t="shared" ref="R7:R20" si="2">N7+P7</f>
        <v>1008300.44</v>
      </c>
      <c r="S7" s="724">
        <f t="shared" ref="S7:S20" si="3">ROUND(O7+Q7,2)</f>
        <v>1008300.44</v>
      </c>
      <c r="AK7" s="342" t="s">
        <v>232</v>
      </c>
      <c r="AL7" s="193"/>
      <c r="AN7" s="193"/>
      <c r="AO7" s="193"/>
      <c r="AP7" s="193"/>
      <c r="AQ7" s="193"/>
      <c r="AR7" s="193"/>
    </row>
    <row r="8" s="357" customFormat="1" ht="18" customHeight="1" spans="1:44">
      <c r="A8" s="357" t="str">
        <v/>
      </c>
      <c r="B8" s="167">
        <v>3</v>
      </c>
      <c r="C8" s="168"/>
      <c r="D8" s="166"/>
      <c r="E8" s="166"/>
      <c r="F8" s="166"/>
      <c r="G8" s="166"/>
      <c r="H8" s="311"/>
      <c r="I8" s="311"/>
      <c r="J8" s="311"/>
      <c r="K8" s="311"/>
      <c r="L8" s="311"/>
      <c r="M8" s="311"/>
      <c r="N8" s="652">
        <f t="shared" si="0"/>
        <v>0</v>
      </c>
      <c r="O8" s="652">
        <f t="shared" si="1"/>
        <v>0</v>
      </c>
      <c r="P8" s="311"/>
      <c r="Q8" s="311"/>
      <c r="R8" s="652">
        <f t="shared" si="2"/>
        <v>0</v>
      </c>
      <c r="S8" s="724">
        <f t="shared" si="3"/>
        <v>0</v>
      </c>
      <c r="AK8" s="732" t="s">
        <v>69</v>
      </c>
      <c r="AL8" s="342" t="s">
        <v>233</v>
      </c>
      <c r="AM8" s="193"/>
      <c r="AN8" s="193"/>
      <c r="AO8" s="193"/>
      <c r="AP8" s="193"/>
      <c r="AQ8" s="193"/>
      <c r="AR8" s="193"/>
    </row>
    <row r="9" s="357" customFormat="1" ht="18" customHeight="1" spans="1:44">
      <c r="A9" s="357" t="str">
        <v/>
      </c>
      <c r="B9" s="167">
        <v>4</v>
      </c>
      <c r="C9" s="168"/>
      <c r="D9" s="166"/>
      <c r="E9" s="166"/>
      <c r="F9" s="166"/>
      <c r="G9" s="166"/>
      <c r="H9" s="311"/>
      <c r="I9" s="311"/>
      <c r="J9" s="311"/>
      <c r="K9" s="311"/>
      <c r="L9" s="311"/>
      <c r="M9" s="311"/>
      <c r="N9" s="652">
        <f t="shared" si="0"/>
        <v>0</v>
      </c>
      <c r="O9" s="652">
        <f t="shared" si="1"/>
        <v>0</v>
      </c>
      <c r="P9" s="311"/>
      <c r="Q9" s="311"/>
      <c r="R9" s="652">
        <f t="shared" si="2"/>
        <v>0</v>
      </c>
      <c r="S9" s="724">
        <f t="shared" si="3"/>
        <v>0</v>
      </c>
      <c r="AK9" s="732" t="s">
        <v>234</v>
      </c>
      <c r="AL9" s="342" t="s">
        <v>235</v>
      </c>
      <c r="AM9" s="193"/>
      <c r="AN9" s="193"/>
      <c r="AO9" s="193"/>
      <c r="AP9" s="193"/>
      <c r="AQ9" s="193"/>
      <c r="AR9" s="193"/>
    </row>
    <row r="10" s="357" customFormat="1" ht="18" customHeight="1" spans="1:44">
      <c r="A10" s="357" t="str">
        <v/>
      </c>
      <c r="B10" s="167">
        <v>5</v>
      </c>
      <c r="C10" s="168"/>
      <c r="D10" s="166"/>
      <c r="E10" s="166"/>
      <c r="F10" s="166"/>
      <c r="G10" s="166"/>
      <c r="H10" s="311"/>
      <c r="I10" s="311"/>
      <c r="J10" s="311"/>
      <c r="K10" s="311"/>
      <c r="L10" s="311"/>
      <c r="M10" s="311"/>
      <c r="N10" s="652">
        <f t="shared" si="0"/>
        <v>0</v>
      </c>
      <c r="O10" s="652">
        <f t="shared" si="1"/>
        <v>0</v>
      </c>
      <c r="P10" s="311"/>
      <c r="Q10" s="311"/>
      <c r="R10" s="652">
        <f t="shared" si="2"/>
        <v>0</v>
      </c>
      <c r="S10" s="724">
        <f t="shared" si="3"/>
        <v>0</v>
      </c>
      <c r="AK10" s="732" t="s">
        <v>234</v>
      </c>
      <c r="AL10" s="342" t="s">
        <v>236</v>
      </c>
      <c r="AM10" s="193"/>
      <c r="AN10" s="193"/>
      <c r="AO10" s="193"/>
      <c r="AP10" s="193"/>
      <c r="AQ10" s="193"/>
      <c r="AR10" s="193"/>
    </row>
    <row r="11" s="357" customFormat="1" ht="18" customHeight="1" spans="1:44">
      <c r="A11" s="357" t="str">
        <v/>
      </c>
      <c r="B11" s="167">
        <v>6</v>
      </c>
      <c r="C11" s="168"/>
      <c r="D11" s="166"/>
      <c r="E11" s="166"/>
      <c r="F11" s="166"/>
      <c r="G11" s="166"/>
      <c r="H11" s="311"/>
      <c r="I11" s="311"/>
      <c r="J11" s="311"/>
      <c r="K11" s="311"/>
      <c r="L11" s="311"/>
      <c r="M11" s="311"/>
      <c r="N11" s="652">
        <f t="shared" si="0"/>
        <v>0</v>
      </c>
      <c r="O11" s="652">
        <f t="shared" si="1"/>
        <v>0</v>
      </c>
      <c r="P11" s="311"/>
      <c r="Q11" s="311"/>
      <c r="R11" s="652">
        <f t="shared" si="2"/>
        <v>0</v>
      </c>
      <c r="S11" s="724">
        <f t="shared" si="3"/>
        <v>0</v>
      </c>
      <c r="AM11" s="193"/>
      <c r="AN11" s="193"/>
      <c r="AO11" s="193"/>
      <c r="AP11" s="193"/>
      <c r="AQ11" s="193"/>
      <c r="AR11" s="193"/>
    </row>
    <row r="12" s="357" customFormat="1" ht="18" customHeight="1" spans="1:44">
      <c r="A12" s="357" t="str">
        <v/>
      </c>
      <c r="B12" s="167">
        <v>7</v>
      </c>
      <c r="C12" s="168"/>
      <c r="D12" s="166"/>
      <c r="E12" s="166"/>
      <c r="F12" s="166"/>
      <c r="G12" s="166"/>
      <c r="H12" s="311"/>
      <c r="I12" s="311"/>
      <c r="J12" s="311"/>
      <c r="K12" s="311"/>
      <c r="L12" s="311"/>
      <c r="M12" s="311"/>
      <c r="N12" s="652">
        <f t="shared" si="0"/>
        <v>0</v>
      </c>
      <c r="O12" s="652">
        <f t="shared" si="1"/>
        <v>0</v>
      </c>
      <c r="P12" s="311"/>
      <c r="Q12" s="311"/>
      <c r="R12" s="652">
        <f t="shared" si="2"/>
        <v>0</v>
      </c>
      <c r="S12" s="724">
        <f t="shared" si="3"/>
        <v>0</v>
      </c>
      <c r="AK12" s="729" t="s">
        <v>237</v>
      </c>
      <c r="AL12" s="697" t="s">
        <v>238</v>
      </c>
      <c r="AM12" s="697" t="s">
        <v>239</v>
      </c>
      <c r="AN12" s="697" t="s">
        <v>240</v>
      </c>
      <c r="AO12" s="745" t="s">
        <v>190</v>
      </c>
      <c r="AP12" s="746"/>
      <c r="AQ12" s="193"/>
      <c r="AR12" s="193"/>
    </row>
    <row r="13" s="357" customFormat="1" ht="18" customHeight="1" spans="1:44">
      <c r="A13" s="357" t="str">
        <v/>
      </c>
      <c r="B13" s="167">
        <v>8</v>
      </c>
      <c r="C13" s="168"/>
      <c r="D13" s="166"/>
      <c r="E13" s="166"/>
      <c r="F13" s="166"/>
      <c r="G13" s="166"/>
      <c r="H13" s="311"/>
      <c r="I13" s="311"/>
      <c r="J13" s="311"/>
      <c r="K13" s="311"/>
      <c r="L13" s="311"/>
      <c r="M13" s="311"/>
      <c r="N13" s="652">
        <f t="shared" si="0"/>
        <v>0</v>
      </c>
      <c r="O13" s="652">
        <f t="shared" si="1"/>
        <v>0</v>
      </c>
      <c r="P13" s="311"/>
      <c r="Q13" s="311"/>
      <c r="R13" s="652">
        <f t="shared" si="2"/>
        <v>0</v>
      </c>
      <c r="S13" s="724">
        <f t="shared" si="3"/>
        <v>0</v>
      </c>
      <c r="AK13" s="733" t="s">
        <v>195</v>
      </c>
      <c r="AL13" s="519">
        <v>2326906.73</v>
      </c>
      <c r="AM13" s="519"/>
      <c r="AN13" s="519"/>
      <c r="AO13" s="731">
        <f>AL13+AM13+AN13</f>
        <v>2326906.73</v>
      </c>
      <c r="AP13" s="746"/>
      <c r="AQ13" s="193"/>
      <c r="AR13" s="193"/>
    </row>
    <row r="14" s="357" customFormat="1" ht="18" customHeight="1" spans="1:44">
      <c r="A14" s="357" t="str">
        <v/>
      </c>
      <c r="B14" s="167">
        <v>9</v>
      </c>
      <c r="C14" s="168"/>
      <c r="D14" s="166"/>
      <c r="E14" s="166"/>
      <c r="F14" s="166"/>
      <c r="G14" s="166"/>
      <c r="H14" s="311"/>
      <c r="I14" s="311"/>
      <c r="J14" s="311"/>
      <c r="K14" s="311"/>
      <c r="L14" s="311"/>
      <c r="M14" s="311"/>
      <c r="N14" s="652">
        <f t="shared" si="0"/>
        <v>0</v>
      </c>
      <c r="O14" s="652">
        <f t="shared" si="1"/>
        <v>0</v>
      </c>
      <c r="P14" s="311"/>
      <c r="Q14" s="311"/>
      <c r="R14" s="652">
        <f t="shared" si="2"/>
        <v>0</v>
      </c>
      <c r="S14" s="724">
        <f t="shared" si="3"/>
        <v>0</v>
      </c>
      <c r="AK14" s="734" t="str">
        <f>IF(AK5&lt;&gt;AL13,"说明：企业未按照上年度审计报告跟调。","说明：企业已按照上年度审计报告跟调。")</f>
        <v>说明：企业已按照上年度审计报告跟调。</v>
      </c>
      <c r="AL14" s="198"/>
      <c r="AM14" s="198"/>
      <c r="AN14" s="198"/>
      <c r="AO14" s="747">
        <f>AM5-AO13</f>
        <v>0</v>
      </c>
      <c r="AP14" s="342" t="s">
        <v>241</v>
      </c>
      <c r="AQ14" s="193"/>
      <c r="AR14" s="193"/>
    </row>
    <row r="15" s="357" customFormat="1" ht="18" customHeight="1" spans="1:44">
      <c r="A15" s="357" t="str">
        <v/>
      </c>
      <c r="B15" s="167">
        <v>10</v>
      </c>
      <c r="C15" s="168"/>
      <c r="D15" s="166"/>
      <c r="E15" s="166"/>
      <c r="F15" s="166"/>
      <c r="G15" s="166"/>
      <c r="H15" s="311"/>
      <c r="I15" s="311"/>
      <c r="J15" s="311"/>
      <c r="K15" s="311"/>
      <c r="L15" s="311"/>
      <c r="M15" s="311"/>
      <c r="N15" s="652">
        <f t="shared" si="0"/>
        <v>0</v>
      </c>
      <c r="O15" s="652">
        <f t="shared" si="1"/>
        <v>0</v>
      </c>
      <c r="P15" s="311"/>
      <c r="Q15" s="311"/>
      <c r="R15" s="652">
        <f t="shared" si="2"/>
        <v>0</v>
      </c>
      <c r="S15" s="724">
        <f t="shared" si="3"/>
        <v>0</v>
      </c>
      <c r="AQ15" s="193"/>
      <c r="AR15" s="193"/>
    </row>
    <row r="16" s="357" customFormat="1" ht="18" customHeight="1" spans="1:45">
      <c r="A16" s="357" t="str">
        <v/>
      </c>
      <c r="B16" s="167">
        <v>11</v>
      </c>
      <c r="C16" s="168"/>
      <c r="D16" s="166"/>
      <c r="E16" s="166"/>
      <c r="F16" s="166"/>
      <c r="G16" s="166"/>
      <c r="H16" s="311"/>
      <c r="I16" s="311"/>
      <c r="J16" s="311"/>
      <c r="K16" s="311"/>
      <c r="L16" s="311"/>
      <c r="M16" s="311"/>
      <c r="N16" s="652">
        <f t="shared" si="0"/>
        <v>0</v>
      </c>
      <c r="O16" s="652">
        <f t="shared" si="1"/>
        <v>0</v>
      </c>
      <c r="P16" s="311"/>
      <c r="Q16" s="311"/>
      <c r="R16" s="652">
        <f t="shared" si="2"/>
        <v>0</v>
      </c>
      <c r="S16" s="724">
        <f t="shared" si="3"/>
        <v>0</v>
      </c>
      <c r="AL16" s="735" t="s">
        <v>176</v>
      </c>
      <c r="AM16" s="736" t="s">
        <v>177</v>
      </c>
      <c r="AN16" s="736" t="s">
        <v>178</v>
      </c>
      <c r="AO16" s="736" t="s">
        <v>179</v>
      </c>
      <c r="AP16" s="736" t="s">
        <v>180</v>
      </c>
      <c r="AQ16" s="748" t="s">
        <v>181</v>
      </c>
      <c r="AR16" s="748"/>
      <c r="AS16" s="749" t="s">
        <v>182</v>
      </c>
    </row>
    <row r="17" s="357" customFormat="1" ht="18" customHeight="1" spans="1:45">
      <c r="A17" s="357" t="str">
        <v/>
      </c>
      <c r="B17" s="167">
        <v>12</v>
      </c>
      <c r="C17" s="168"/>
      <c r="D17" s="166"/>
      <c r="E17" s="166"/>
      <c r="F17" s="166"/>
      <c r="G17" s="166"/>
      <c r="H17" s="311"/>
      <c r="I17" s="311"/>
      <c r="J17" s="311"/>
      <c r="K17" s="311"/>
      <c r="L17" s="311"/>
      <c r="M17" s="311"/>
      <c r="N17" s="652">
        <f t="shared" si="0"/>
        <v>0</v>
      </c>
      <c r="O17" s="652">
        <f t="shared" si="1"/>
        <v>0</v>
      </c>
      <c r="P17" s="311"/>
      <c r="Q17" s="311"/>
      <c r="R17" s="652">
        <f t="shared" si="2"/>
        <v>0</v>
      </c>
      <c r="S17" s="724">
        <f t="shared" si="3"/>
        <v>0</v>
      </c>
      <c r="AK17" s="193"/>
      <c r="AL17" s="737"/>
      <c r="AM17" s="738"/>
      <c r="AN17" s="738"/>
      <c r="AO17" s="738"/>
      <c r="AP17" s="738"/>
      <c r="AQ17" s="750" t="s">
        <v>183</v>
      </c>
      <c r="AR17" s="750" t="s">
        <v>184</v>
      </c>
      <c r="AS17" s="751"/>
    </row>
    <row r="18" s="357" customFormat="1" ht="18" customHeight="1" spans="1:45">
      <c r="A18" s="357" t="str">
        <v/>
      </c>
      <c r="B18" s="167">
        <v>13</v>
      </c>
      <c r="C18" s="168"/>
      <c r="D18" s="166"/>
      <c r="E18" s="166"/>
      <c r="F18" s="166"/>
      <c r="G18" s="166"/>
      <c r="H18" s="311"/>
      <c r="I18" s="311"/>
      <c r="J18" s="311"/>
      <c r="K18" s="311"/>
      <c r="L18" s="311"/>
      <c r="M18" s="311"/>
      <c r="N18" s="652">
        <f t="shared" si="0"/>
        <v>0</v>
      </c>
      <c r="O18" s="652">
        <f t="shared" si="1"/>
        <v>0</v>
      </c>
      <c r="P18" s="311"/>
      <c r="Q18" s="311"/>
      <c r="R18" s="652">
        <f t="shared" si="2"/>
        <v>0</v>
      </c>
      <c r="S18" s="724">
        <f t="shared" si="3"/>
        <v>0</v>
      </c>
      <c r="AK18" s="193"/>
      <c r="AL18" s="739"/>
      <c r="AM18" s="740"/>
      <c r="AN18" s="740"/>
      <c r="AO18" s="740"/>
      <c r="AP18" s="628"/>
      <c r="AQ18" s="311"/>
      <c r="AR18" s="311"/>
      <c r="AS18" s="629"/>
    </row>
    <row r="19" s="357" customFormat="1" ht="18" customHeight="1" spans="2:45">
      <c r="B19" s="167">
        <v>14</v>
      </c>
      <c r="C19" s="168"/>
      <c r="D19" s="166"/>
      <c r="E19" s="166"/>
      <c r="F19" s="166"/>
      <c r="G19" s="166"/>
      <c r="H19" s="311"/>
      <c r="I19" s="311"/>
      <c r="J19" s="311"/>
      <c r="K19" s="311"/>
      <c r="L19" s="311"/>
      <c r="M19" s="311"/>
      <c r="N19" s="652">
        <f t="shared" si="0"/>
        <v>0</v>
      </c>
      <c r="O19" s="652">
        <f t="shared" si="1"/>
        <v>0</v>
      </c>
      <c r="P19" s="311"/>
      <c r="Q19" s="311"/>
      <c r="R19" s="652">
        <f t="shared" si="2"/>
        <v>0</v>
      </c>
      <c r="S19" s="724">
        <f t="shared" si="3"/>
        <v>0</v>
      </c>
      <c r="AK19" s="193"/>
      <c r="AL19" s="739"/>
      <c r="AM19" s="740"/>
      <c r="AN19" s="740"/>
      <c r="AO19" s="740"/>
      <c r="AP19" s="628"/>
      <c r="AQ19" s="311"/>
      <c r="AR19" s="311"/>
      <c r="AS19" s="629"/>
    </row>
    <row r="20" s="357" customFormat="1" ht="18" customHeight="1" spans="2:45">
      <c r="B20" s="167">
        <v>15</v>
      </c>
      <c r="C20" s="168"/>
      <c r="D20" s="166"/>
      <c r="E20" s="166"/>
      <c r="F20" s="166"/>
      <c r="G20" s="166"/>
      <c r="H20" s="311"/>
      <c r="I20" s="311"/>
      <c r="J20" s="311"/>
      <c r="K20" s="311"/>
      <c r="L20" s="311"/>
      <c r="M20" s="311"/>
      <c r="N20" s="652">
        <f t="shared" si="0"/>
        <v>0</v>
      </c>
      <c r="O20" s="652">
        <f t="shared" si="1"/>
        <v>0</v>
      </c>
      <c r="P20" s="311"/>
      <c r="Q20" s="311"/>
      <c r="R20" s="652">
        <f t="shared" si="2"/>
        <v>0</v>
      </c>
      <c r="S20" s="724">
        <f t="shared" si="3"/>
        <v>0</v>
      </c>
      <c r="AK20" s="193"/>
      <c r="AL20" s="739"/>
      <c r="AM20" s="740"/>
      <c r="AN20" s="740"/>
      <c r="AO20" s="740"/>
      <c r="AP20" s="628"/>
      <c r="AQ20" s="311"/>
      <c r="AR20" s="311"/>
      <c r="AS20" s="629"/>
    </row>
    <row r="21" s="693" customFormat="1" ht="18" customHeight="1" spans="2:45">
      <c r="B21" s="705" t="s">
        <v>196</v>
      </c>
      <c r="C21" s="706"/>
      <c r="D21" s="707"/>
      <c r="E21" s="707"/>
      <c r="F21" s="708"/>
      <c r="G21" s="708"/>
      <c r="H21" s="325">
        <f>SUM(H6:H20)</f>
        <v>2326906.73</v>
      </c>
      <c r="I21" s="325">
        <f t="shared" ref="I21:S21" si="4">SUM(I6:I20)</f>
        <v>2326906.73</v>
      </c>
      <c r="J21" s="325">
        <f t="shared" si="4"/>
        <v>63693.39</v>
      </c>
      <c r="K21" s="325">
        <f t="shared" si="4"/>
        <v>63693.39</v>
      </c>
      <c r="L21" s="325">
        <f t="shared" si="4"/>
        <v>0</v>
      </c>
      <c r="M21" s="325">
        <f t="shared" si="4"/>
        <v>0</v>
      </c>
      <c r="N21" s="325">
        <f t="shared" si="4"/>
        <v>2390600.12</v>
      </c>
      <c r="O21" s="325">
        <f t="shared" si="4"/>
        <v>2390600.12</v>
      </c>
      <c r="P21" s="325">
        <f t="shared" si="4"/>
        <v>0</v>
      </c>
      <c r="Q21" s="325">
        <f t="shared" si="4"/>
        <v>0</v>
      </c>
      <c r="R21" s="325">
        <f t="shared" si="4"/>
        <v>2390600.12</v>
      </c>
      <c r="S21" s="725">
        <f t="shared" si="4"/>
        <v>2390600.12</v>
      </c>
      <c r="AK21" s="193"/>
      <c r="AL21" s="739"/>
      <c r="AM21" s="740"/>
      <c r="AN21" s="740"/>
      <c r="AO21" s="740"/>
      <c r="AP21" s="628"/>
      <c r="AQ21" s="311"/>
      <c r="AR21" s="311"/>
      <c r="AS21" s="629"/>
    </row>
    <row r="22" s="357" customFormat="1" ht="18" customHeight="1" spans="37:45">
      <c r="AK22" s="193"/>
      <c r="AL22" s="739"/>
      <c r="AM22" s="740"/>
      <c r="AN22" s="740"/>
      <c r="AO22" s="740"/>
      <c r="AP22" s="628"/>
      <c r="AQ22" s="311"/>
      <c r="AR22" s="311"/>
      <c r="AS22" s="629"/>
    </row>
    <row r="23" s="143" customFormat="1" ht="18" customHeight="1" spans="2:45">
      <c r="B23" s="709" t="s">
        <v>198</v>
      </c>
      <c r="C23" s="710"/>
      <c r="D23" s="275"/>
      <c r="E23" s="275"/>
      <c r="F23" s="275"/>
      <c r="G23" s="275"/>
      <c r="H23" s="275"/>
      <c r="I23" s="275"/>
      <c r="J23" s="275"/>
      <c r="K23" s="275"/>
      <c r="L23" s="275"/>
      <c r="M23" s="275"/>
      <c r="N23" s="275"/>
      <c r="O23" s="275"/>
      <c r="P23" s="275"/>
      <c r="Q23" s="275"/>
      <c r="R23" s="275"/>
      <c r="S23" s="275"/>
      <c r="AK23" s="193"/>
      <c r="AL23" s="741"/>
      <c r="AM23" s="740"/>
      <c r="AN23" s="740"/>
      <c r="AO23" s="740"/>
      <c r="AP23" s="752"/>
      <c r="AQ23" s="753"/>
      <c r="AR23" s="753"/>
      <c r="AS23" s="754"/>
    </row>
    <row r="24" s="143" customFormat="1" ht="18" customHeight="1" spans="2:45">
      <c r="B24" s="711" t="s">
        <v>267</v>
      </c>
      <c r="C24" s="712"/>
      <c r="D24" s="712"/>
      <c r="E24" s="712"/>
      <c r="F24" s="712"/>
      <c r="G24" s="712"/>
      <c r="H24" s="712"/>
      <c r="I24" s="712"/>
      <c r="J24" s="712"/>
      <c r="K24" s="712"/>
      <c r="L24" s="712"/>
      <c r="M24" s="712"/>
      <c r="N24" s="712"/>
      <c r="O24" s="712"/>
      <c r="P24" s="712"/>
      <c r="Q24" s="712"/>
      <c r="R24" s="712"/>
      <c r="S24" s="726"/>
      <c r="AK24" s="193"/>
      <c r="AL24" s="739"/>
      <c r="AM24" s="740"/>
      <c r="AN24" s="740"/>
      <c r="AO24" s="740"/>
      <c r="AP24" s="628"/>
      <c r="AQ24" s="311"/>
      <c r="AR24" s="311"/>
      <c r="AS24" s="629"/>
    </row>
    <row r="25" s="143" customFormat="1" ht="17.25" customHeight="1" spans="2:45">
      <c r="B25" s="713"/>
      <c r="S25" s="727"/>
      <c r="AK25" s="193"/>
      <c r="AL25" s="307"/>
      <c r="AM25" s="740"/>
      <c r="AN25" s="740"/>
      <c r="AO25" s="740"/>
      <c r="AP25" s="755"/>
      <c r="AQ25" s="219"/>
      <c r="AR25" s="219"/>
      <c r="AS25" s="756"/>
    </row>
    <row r="26" s="143" customFormat="1" ht="17.25" customHeight="1" spans="2:45">
      <c r="B26" s="714"/>
      <c r="C26" s="715"/>
      <c r="D26" s="715"/>
      <c r="E26" s="715"/>
      <c r="F26" s="715"/>
      <c r="G26" s="715"/>
      <c r="H26" s="715"/>
      <c r="I26" s="715"/>
      <c r="J26" s="715"/>
      <c r="K26" s="715"/>
      <c r="L26" s="715"/>
      <c r="M26" s="715"/>
      <c r="N26" s="715"/>
      <c r="O26" s="715"/>
      <c r="P26" s="715"/>
      <c r="Q26" s="715"/>
      <c r="R26" s="715"/>
      <c r="S26" s="728"/>
      <c r="AK26" s="341"/>
      <c r="AL26" s="307"/>
      <c r="AM26" s="740"/>
      <c r="AN26" s="740"/>
      <c r="AO26" s="740"/>
      <c r="AP26" s="755"/>
      <c r="AQ26" s="219"/>
      <c r="AR26" s="219"/>
      <c r="AS26" s="756"/>
    </row>
    <row r="27" s="357" customFormat="1" spans="37:45">
      <c r="AK27" s="193"/>
      <c r="AL27" s="307"/>
      <c r="AM27" s="740"/>
      <c r="AN27" s="740"/>
      <c r="AO27" s="740"/>
      <c r="AP27" s="755"/>
      <c r="AQ27" s="219"/>
      <c r="AR27" s="219"/>
      <c r="AS27" s="756"/>
    </row>
    <row r="28" s="357" customFormat="1" spans="2:45">
      <c r="B28" s="716"/>
      <c r="C28" s="716"/>
      <c r="AK28" s="143"/>
      <c r="AL28" s="307"/>
      <c r="AM28" s="740"/>
      <c r="AN28" s="740"/>
      <c r="AO28" s="740"/>
      <c r="AP28" s="755"/>
      <c r="AQ28" s="219"/>
      <c r="AR28" s="219"/>
      <c r="AS28" s="756"/>
    </row>
    <row r="29" s="694" customFormat="1" spans="2:45">
      <c r="B29" s="555" t="s">
        <v>172</v>
      </c>
      <c r="C29" s="555"/>
      <c r="AK29" s="143"/>
      <c r="AL29" s="739"/>
      <c r="AM29" s="740"/>
      <c r="AN29" s="740"/>
      <c r="AO29" s="740"/>
      <c r="AP29" s="628"/>
      <c r="AQ29" s="311"/>
      <c r="AR29" s="311"/>
      <c r="AS29" s="629"/>
    </row>
    <row r="30" s="694" customFormat="1" spans="2:45">
      <c r="B30" s="555" t="s">
        <v>268</v>
      </c>
      <c r="C30" s="555"/>
      <c r="AK30" s="143"/>
      <c r="AL30" s="739"/>
      <c r="AM30" s="740"/>
      <c r="AN30" s="740"/>
      <c r="AO30" s="740"/>
      <c r="AP30" s="628"/>
      <c r="AQ30" s="311"/>
      <c r="AR30" s="311"/>
      <c r="AS30" s="629"/>
    </row>
    <row r="31" spans="37:45">
      <c r="AK31" s="143"/>
      <c r="AL31" s="742"/>
      <c r="AM31" s="740"/>
      <c r="AN31" s="740"/>
      <c r="AO31" s="740"/>
      <c r="AP31" s="757"/>
      <c r="AQ31" s="758"/>
      <c r="AR31" s="758"/>
      <c r="AS31" s="759"/>
    </row>
    <row r="32" s="357" customFormat="1" spans="37:45">
      <c r="AK32" s="193"/>
      <c r="AL32" s="742"/>
      <c r="AM32" s="740"/>
      <c r="AN32" s="740"/>
      <c r="AO32" s="740"/>
      <c r="AP32" s="757"/>
      <c r="AQ32" s="760"/>
      <c r="AR32" s="760"/>
      <c r="AS32" s="759"/>
    </row>
    <row r="33" s="357" customFormat="1" spans="37:45">
      <c r="AK33" s="193"/>
      <c r="AL33" s="742"/>
      <c r="AM33" s="740"/>
      <c r="AN33" s="740"/>
      <c r="AO33" s="740"/>
      <c r="AP33" s="757"/>
      <c r="AQ33" s="760"/>
      <c r="AR33" s="760"/>
      <c r="AS33" s="759"/>
    </row>
    <row r="34" s="357" customFormat="1" spans="37:45">
      <c r="AK34" s="356"/>
      <c r="AL34" s="739"/>
      <c r="AM34" s="740"/>
      <c r="AN34" s="740"/>
      <c r="AO34" s="740"/>
      <c r="AP34" s="628"/>
      <c r="AQ34" s="311"/>
      <c r="AR34" s="311"/>
      <c r="AS34" s="629"/>
    </row>
    <row r="35" s="357" customFormat="1" spans="37:45">
      <c r="AK35" s="356"/>
      <c r="AL35" s="739"/>
      <c r="AM35" s="740"/>
      <c r="AN35" s="740"/>
      <c r="AO35" s="740"/>
      <c r="AP35" s="628"/>
      <c r="AQ35" s="311"/>
      <c r="AR35" s="311"/>
      <c r="AS35" s="629"/>
    </row>
    <row r="36" s="357" customFormat="1" ht="16.25" spans="37:45">
      <c r="AK36" s="356"/>
      <c r="AL36" s="743"/>
      <c r="AM36" s="744"/>
      <c r="AN36" s="744"/>
      <c r="AO36" s="744"/>
      <c r="AP36" s="761"/>
      <c r="AQ36" s="519"/>
      <c r="AR36" s="519"/>
      <c r="AS36" s="762"/>
    </row>
    <row r="37" s="357" customFormat="1" spans="37:37">
      <c r="AK37" s="621"/>
    </row>
    <row r="38" s="357" customFormat="1" spans="37:37">
      <c r="AK38" s="193"/>
    </row>
    <row r="39" s="357" customFormat="1" spans="37:37">
      <c r="AK39" s="193"/>
    </row>
    <row r="40" s="357" customFormat="1" spans="37:44">
      <c r="AK40" s="193"/>
      <c r="AL40" s="193"/>
      <c r="AM40" s="193"/>
      <c r="AN40" s="193"/>
      <c r="AO40" s="193"/>
      <c r="AP40" s="193"/>
      <c r="AQ40" s="193"/>
      <c r="AR40" s="193"/>
    </row>
    <row r="41" s="357" customFormat="1" spans="37:44">
      <c r="AK41" s="193"/>
      <c r="AL41" s="193"/>
      <c r="AM41" s="193"/>
      <c r="AN41" s="193"/>
      <c r="AO41" s="193"/>
      <c r="AP41" s="193"/>
      <c r="AQ41" s="193"/>
      <c r="AR41" s="193"/>
    </row>
    <row r="42" s="357" customFormat="1" spans="37:44">
      <c r="AK42" s="193"/>
      <c r="AL42" s="193"/>
      <c r="AM42" s="193"/>
      <c r="AN42" s="193"/>
      <c r="AO42" s="193"/>
      <c r="AP42" s="193"/>
      <c r="AQ42" s="193"/>
      <c r="AR42" s="193"/>
    </row>
    <row r="43" s="357" customFormat="1" spans="37:44">
      <c r="AK43" s="193"/>
      <c r="AL43" s="193"/>
      <c r="AM43" s="193"/>
      <c r="AN43" s="193"/>
      <c r="AO43" s="193"/>
      <c r="AP43" s="193"/>
      <c r="AQ43" s="193"/>
      <c r="AR43" s="193"/>
    </row>
    <row r="44" s="357" customFormat="1" spans="37:44">
      <c r="AK44" s="193"/>
      <c r="AL44" s="193"/>
      <c r="AM44" s="193"/>
      <c r="AN44" s="193"/>
      <c r="AO44" s="193"/>
      <c r="AP44" s="193"/>
      <c r="AQ44" s="193"/>
      <c r="AR44" s="193"/>
    </row>
    <row r="45" s="357" customFormat="1" spans="37:44">
      <c r="AK45" s="193"/>
      <c r="AL45" s="193"/>
      <c r="AM45" s="193"/>
      <c r="AN45" s="193"/>
      <c r="AO45" s="193"/>
      <c r="AP45" s="193"/>
      <c r="AQ45" s="193"/>
      <c r="AR45" s="193"/>
    </row>
    <row r="46" s="357" customFormat="1" spans="37:44">
      <c r="AK46" s="193"/>
      <c r="AL46" s="193"/>
      <c r="AM46" s="193"/>
      <c r="AN46" s="193"/>
      <c r="AO46" s="193"/>
      <c r="AP46" s="193"/>
      <c r="AQ46" s="193"/>
      <c r="AR46" s="193"/>
    </row>
    <row r="47" s="357" customFormat="1" spans="37:44">
      <c r="AK47" s="193"/>
      <c r="AL47" s="193"/>
      <c r="AM47" s="193"/>
      <c r="AN47" s="193"/>
      <c r="AO47" s="193"/>
      <c r="AP47" s="193"/>
      <c r="AQ47" s="193"/>
      <c r="AR47" s="193"/>
    </row>
    <row r="48" spans="37:45">
      <c r="AK48" s="193"/>
      <c r="AL48" s="193"/>
      <c r="AM48" s="193"/>
      <c r="AN48" s="193"/>
      <c r="AO48" s="193"/>
      <c r="AP48" s="193"/>
      <c r="AQ48" s="193"/>
      <c r="AR48" s="193"/>
      <c r="AS48" s="357"/>
    </row>
    <row r="49" spans="37:45">
      <c r="AK49" s="193"/>
      <c r="AL49" s="193"/>
      <c r="AM49" s="193"/>
      <c r="AN49" s="193"/>
      <c r="AO49" s="193"/>
      <c r="AP49" s="193"/>
      <c r="AQ49" s="193"/>
      <c r="AR49" s="193"/>
      <c r="AS49" s="357"/>
    </row>
    <row r="50" spans="37:45">
      <c r="AK50" s="193"/>
      <c r="AL50" s="193"/>
      <c r="AM50" s="193"/>
      <c r="AN50" s="193"/>
      <c r="AO50" s="193"/>
      <c r="AP50" s="193"/>
      <c r="AQ50" s="193"/>
      <c r="AR50" s="193"/>
      <c r="AS50" s="357"/>
    </row>
    <row r="51" spans="37:45">
      <c r="AK51" s="193"/>
      <c r="AL51" s="193"/>
      <c r="AM51" s="193"/>
      <c r="AN51" s="193"/>
      <c r="AO51" s="193"/>
      <c r="AP51" s="193"/>
      <c r="AQ51" s="193"/>
      <c r="AR51" s="193"/>
      <c r="AS51" s="357"/>
    </row>
    <row r="52" spans="37:45">
      <c r="AK52" s="193"/>
      <c r="AL52" s="193"/>
      <c r="AM52" s="193"/>
      <c r="AN52" s="193"/>
      <c r="AO52" s="193"/>
      <c r="AP52" s="193"/>
      <c r="AQ52" s="193"/>
      <c r="AR52" s="193"/>
      <c r="AS52" s="357"/>
    </row>
    <row r="53" spans="37:45">
      <c r="AK53" s="193"/>
      <c r="AL53" s="193"/>
      <c r="AM53" s="193"/>
      <c r="AN53" s="193"/>
      <c r="AO53" s="193"/>
      <c r="AP53" s="193"/>
      <c r="AQ53" s="193"/>
      <c r="AR53" s="193"/>
      <c r="AS53" s="357"/>
    </row>
  </sheetData>
  <mergeCells count="20">
    <mergeCell ref="H4:I4"/>
    <mergeCell ref="J4:K4"/>
    <mergeCell ref="L4:M4"/>
    <mergeCell ref="N4:O4"/>
    <mergeCell ref="P4:Q4"/>
    <mergeCell ref="R4:S4"/>
    <mergeCell ref="AQ16:AR16"/>
    <mergeCell ref="B21:E21"/>
    <mergeCell ref="B4:B5"/>
    <mergeCell ref="C4:C5"/>
    <mergeCell ref="D4:D5"/>
    <mergeCell ref="E4:E5"/>
    <mergeCell ref="F4:F5"/>
    <mergeCell ref="G4:G5"/>
    <mergeCell ref="AL16:AL17"/>
    <mergeCell ref="AM16:AM17"/>
    <mergeCell ref="AN16:AN17"/>
    <mergeCell ref="AO16:AO17"/>
    <mergeCell ref="AP16:AP17"/>
    <mergeCell ref="AS16:AS17"/>
  </mergeCells>
  <conditionalFormatting sqref="AP14">
    <cfRule type="expression" dxfId="1" priority="1">
      <formula>$AO$14&lt;&gt;0</formula>
    </cfRule>
  </conditionalFormatting>
  <dataValidations count="4">
    <dataValidation type="list" allowBlank="1" showInputMessage="1" showErrorMessage="1" sqref="AK8:AK10">
      <formula1>"√,×"</formula1>
    </dataValidation>
    <dataValidation type="list" allowBlank="1" showInputMessage="1" showErrorMessage="1" sqref="AM18:AM36">
      <formula1>科目表</formula1>
    </dataValidation>
    <dataValidation type="list" allowBlank="1" showInputMessage="1" showErrorMessage="1" sqref="AN18:AN36">
      <formula1>二级科目</formula1>
    </dataValidation>
    <dataValidation type="list" allowBlank="1" showInputMessage="1" showErrorMessage="1" sqref="AO18:AO36">
      <formula1>三级科目</formula1>
    </dataValidation>
  </dataValidations>
  <hyperlinks>
    <hyperlink ref="A1" location="'目录'!C9" display="&lt;&lt;"/>
  </hyperlinks>
  <printOptions horizontalCentered="1"/>
  <pageMargins left="0.196850393700787" right="0.196850393700787" top="0.984251968503937" bottom="0.984251968503937" header="0.511811023622047" footer="0.511811023622047"/>
  <pageSetup paperSize="9" scale="63" orientation="landscape" blackAndWhite="1"/>
  <headerFooter alignWithMargins="0"/>
  <legacyDrawing r:id="rId2"/>
  <extLst>
    <ext xmlns:x14="http://schemas.microsoft.com/office/spreadsheetml/2009/9/main" uri="{78C0D931-6437-407d-A8EE-F0AAD7539E65}">
      <x14:conditionalFormattings>
        <x14:conditionalFormatting xmlns:xm="http://schemas.microsoft.com/office/excel/2006/main">
          <x14:cfRule type="iconSet" priority="2" id="{2c2326fb-cb13-4a0d-aa34-d7a1914d0778}">
            <x14:iconSet iconSet="3Symbols2" custom="1">
              <x14:cfvo type="percent">
                <xm:f>0</xm:f>
              </x14:cfvo>
              <x14:cfvo type="num" gte="0">
                <xm:f>-0.001</xm:f>
              </x14:cfvo>
              <x14:cfvo type="num" gte="0">
                <xm:f>0.001</xm:f>
              </x14:cfvo>
              <x14:cfIcon iconSet="3Symbols2" iconId="0"/>
              <x14:cfIcon iconSet="3Symbols2" iconId="2"/>
              <x14:cfIcon iconSet="3Symbols2" iconId="0"/>
            </x14:iconSet>
          </x14:cfRule>
          <xm:sqref>AO14</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N78"/>
  <sheetViews>
    <sheetView showGridLines="0" showZeros="0" workbookViewId="0">
      <pane ySplit="8" topLeftCell="A9" activePane="bottomLeft" state="frozen"/>
      <selection/>
      <selection pane="bottomLeft" activeCell="B1" sqref="B1"/>
    </sheetView>
  </sheetViews>
  <sheetFormatPr defaultColWidth="9" defaultRowHeight="13"/>
  <cols>
    <col min="1" max="1" width="2.6" style="621" customWidth="1"/>
    <col min="2" max="2" width="13.1" style="621" customWidth="1"/>
    <col min="3" max="3" width="14.4" style="621" customWidth="1"/>
    <col min="4" max="4" width="10.6" style="621" customWidth="1"/>
    <col min="5" max="5" width="9.6" style="621" customWidth="1"/>
    <col min="6" max="7" width="6.9" style="621" customWidth="1"/>
    <col min="8" max="8" width="12.5" style="621" customWidth="1"/>
    <col min="9" max="9" width="9.9" style="621" customWidth="1"/>
    <col min="10" max="10" width="10.4" style="621" customWidth="1"/>
    <col min="11" max="11" width="8.1" style="621" customWidth="1"/>
    <col min="12" max="12" width="9" style="621"/>
    <col min="13" max="13" width="15.4" style="621" customWidth="1"/>
    <col min="14" max="14" width="8.4" style="621" customWidth="1"/>
    <col min="15" max="16384" width="9" style="621"/>
  </cols>
  <sheetData>
    <row r="1" s="140" customFormat="1" ht="28.5" customHeight="1" spans="1:14">
      <c r="A1" s="65" t="s">
        <v>58</v>
      </c>
      <c r="B1" s="359" t="s">
        <v>36</v>
      </c>
      <c r="C1" s="360"/>
      <c r="D1" s="360"/>
      <c r="E1" s="360"/>
      <c r="F1" s="360"/>
      <c r="G1" s="360"/>
      <c r="H1" s="360"/>
      <c r="I1" s="360"/>
      <c r="J1" s="360"/>
      <c r="K1" s="360"/>
      <c r="L1" s="360"/>
      <c r="M1" s="153" t="s">
        <v>59</v>
      </c>
      <c r="N1" s="126" t="str">
        <f>目录!E10</f>
        <v>1010-4</v>
      </c>
    </row>
    <row r="2" s="140" customFormat="1" ht="26.1" customHeight="1" spans="2:13">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153"/>
      <c r="I2" s="666"/>
      <c r="J2" s="153"/>
      <c r="K2" s="667"/>
      <c r="L2" s="153"/>
      <c r="M2" s="128"/>
    </row>
    <row r="3" s="242" customFormat="1" ht="12" customHeight="1"/>
    <row r="4" s="193" customFormat="1" ht="18" customHeight="1" spans="2:14">
      <c r="B4" s="622" t="s">
        <v>269</v>
      </c>
      <c r="C4" s="623" t="str">
        <f>目录!H4</f>
        <v>广州钢力金属制品总厂有限公司</v>
      </c>
      <c r="D4" s="624"/>
      <c r="E4" s="624"/>
      <c r="F4" s="624"/>
      <c r="G4" s="625"/>
      <c r="H4" s="626" t="s">
        <v>270</v>
      </c>
      <c r="I4" s="668" t="str">
        <f>目录!H6</f>
        <v>2024-12-31</v>
      </c>
      <c r="J4" s="669"/>
      <c r="K4" s="669"/>
      <c r="L4" s="669"/>
      <c r="M4" s="669"/>
      <c r="N4" s="670"/>
    </row>
    <row r="5" s="186" customFormat="1" ht="18" customHeight="1" spans="2:14">
      <c r="B5" s="627" t="s">
        <v>271</v>
      </c>
      <c r="C5" s="628"/>
      <c r="D5" s="628"/>
      <c r="E5" s="628"/>
      <c r="F5" s="628"/>
      <c r="G5" s="629"/>
      <c r="H5" s="178" t="s">
        <v>272</v>
      </c>
      <c r="I5" s="671"/>
      <c r="J5" s="672"/>
      <c r="K5" s="672"/>
      <c r="L5" s="672"/>
      <c r="M5" s="672"/>
      <c r="N5" s="673"/>
    </row>
    <row r="6" s="193" customFormat="1" ht="18" customHeight="1" spans="2:14">
      <c r="B6" s="627" t="s">
        <v>273</v>
      </c>
      <c r="C6" s="628"/>
      <c r="D6" s="628"/>
      <c r="E6" s="628"/>
      <c r="F6" s="628"/>
      <c r="G6" s="629"/>
      <c r="H6" s="178" t="s">
        <v>274</v>
      </c>
      <c r="I6" s="671"/>
      <c r="J6" s="672"/>
      <c r="K6" s="672"/>
      <c r="L6" s="672"/>
      <c r="M6" s="672"/>
      <c r="N6" s="673"/>
    </row>
    <row r="7" s="193" customFormat="1" ht="18" customHeight="1" spans="2:14">
      <c r="B7" s="630" t="s">
        <v>275</v>
      </c>
      <c r="C7" s="631"/>
      <c r="D7" s="631"/>
      <c r="E7" s="631"/>
      <c r="F7" s="631"/>
      <c r="G7" s="632"/>
      <c r="H7" s="633" t="s">
        <v>276</v>
      </c>
      <c r="I7" s="674"/>
      <c r="J7" s="675"/>
      <c r="K7" s="675"/>
      <c r="L7" s="675"/>
      <c r="M7" s="675"/>
      <c r="N7" s="676"/>
    </row>
    <row r="8" s="193" customFormat="1" ht="21" customHeight="1" spans="2:14">
      <c r="B8" s="634" t="s">
        <v>277</v>
      </c>
      <c r="C8" s="635"/>
      <c r="D8" s="635"/>
      <c r="E8" s="635"/>
      <c r="F8" s="635"/>
      <c r="G8" s="636"/>
      <c r="H8" s="634" t="s">
        <v>278</v>
      </c>
      <c r="I8" s="677"/>
      <c r="J8" s="678" t="s">
        <v>279</v>
      </c>
      <c r="K8" s="635"/>
      <c r="L8" s="636"/>
      <c r="M8" s="634" t="s">
        <v>280</v>
      </c>
      <c r="N8" s="677"/>
    </row>
    <row r="9" s="193" customFormat="1" ht="24" customHeight="1" spans="2:14">
      <c r="B9" s="637" t="s">
        <v>237</v>
      </c>
      <c r="C9" s="638"/>
      <c r="D9" s="638" t="s">
        <v>281</v>
      </c>
      <c r="E9" s="638" t="s">
        <v>282</v>
      </c>
      <c r="F9" s="638" t="s">
        <v>283</v>
      </c>
      <c r="G9" s="639" t="s">
        <v>284</v>
      </c>
      <c r="H9" s="637" t="s">
        <v>285</v>
      </c>
      <c r="I9" s="679" t="s">
        <v>286</v>
      </c>
      <c r="J9" s="680" t="s">
        <v>287</v>
      </c>
      <c r="K9" s="638" t="s">
        <v>288</v>
      </c>
      <c r="L9" s="681" t="s">
        <v>289</v>
      </c>
      <c r="M9" s="637" t="s">
        <v>290</v>
      </c>
      <c r="N9" s="679" t="s">
        <v>286</v>
      </c>
    </row>
    <row r="10" s="193" customFormat="1" ht="18" customHeight="1" spans="2:14">
      <c r="B10" s="640" t="s">
        <v>291</v>
      </c>
      <c r="C10" s="641"/>
      <c r="D10" s="642" t="s">
        <v>292</v>
      </c>
      <c r="E10" s="643"/>
      <c r="F10" s="643"/>
      <c r="G10" s="644"/>
      <c r="H10" s="640"/>
      <c r="I10" s="682"/>
      <c r="J10" s="683"/>
      <c r="K10" s="684"/>
      <c r="L10" s="644"/>
      <c r="M10" s="640"/>
      <c r="N10" s="682"/>
    </row>
    <row r="11" s="193" customFormat="1" ht="18" customHeight="1" spans="2:14">
      <c r="B11" s="640" t="s">
        <v>293</v>
      </c>
      <c r="C11" s="641"/>
      <c r="D11" s="642" t="s">
        <v>294</v>
      </c>
      <c r="E11" s="643"/>
      <c r="F11" s="643"/>
      <c r="G11" s="644"/>
      <c r="H11" s="645"/>
      <c r="I11" s="685"/>
      <c r="J11" s="645"/>
      <c r="K11" s="684"/>
      <c r="L11" s="644"/>
      <c r="M11" s="645"/>
      <c r="N11" s="682"/>
    </row>
    <row r="12" s="193" customFormat="1" ht="18" customHeight="1" spans="2:14">
      <c r="B12" s="640" t="s">
        <v>295</v>
      </c>
      <c r="C12" s="641"/>
      <c r="D12" s="642" t="s">
        <v>296</v>
      </c>
      <c r="E12" s="643"/>
      <c r="F12" s="643"/>
      <c r="G12" s="644"/>
      <c r="H12" s="645"/>
      <c r="I12" s="685"/>
      <c r="J12" s="645"/>
      <c r="K12" s="684"/>
      <c r="L12" s="644"/>
      <c r="M12" s="645"/>
      <c r="N12" s="682"/>
    </row>
    <row r="13" s="193" customFormat="1" ht="18" customHeight="1" spans="2:14">
      <c r="B13" s="640" t="s">
        <v>297</v>
      </c>
      <c r="C13" s="641"/>
      <c r="D13" s="642" t="s">
        <v>298</v>
      </c>
      <c r="E13" s="643"/>
      <c r="F13" s="643"/>
      <c r="G13" s="644"/>
      <c r="H13" s="645"/>
      <c r="I13" s="685"/>
      <c r="J13" s="645"/>
      <c r="K13" s="684"/>
      <c r="L13" s="644"/>
      <c r="M13" s="645"/>
      <c r="N13" s="682"/>
    </row>
    <row r="14" s="193" customFormat="1" ht="18" customHeight="1" spans="2:14">
      <c r="B14" s="640" t="s">
        <v>299</v>
      </c>
      <c r="C14" s="641"/>
      <c r="D14" s="642" t="s">
        <v>300</v>
      </c>
      <c r="E14" s="646">
        <f>E11+E12-E13</f>
        <v>0</v>
      </c>
      <c r="F14" s="646">
        <f>F11+F12-F13</f>
        <v>0</v>
      </c>
      <c r="G14" s="646">
        <f>G11+G12-G13</f>
        <v>0</v>
      </c>
      <c r="H14" s="645"/>
      <c r="I14" s="685"/>
      <c r="J14" s="645"/>
      <c r="K14" s="684"/>
      <c r="L14" s="644"/>
      <c r="M14" s="645"/>
      <c r="N14" s="682"/>
    </row>
    <row r="15" s="193" customFormat="1" ht="18" customHeight="1" spans="2:14">
      <c r="B15" s="640" t="s">
        <v>301</v>
      </c>
      <c r="C15" s="641"/>
      <c r="D15" s="642" t="s">
        <v>302</v>
      </c>
      <c r="E15" s="646">
        <f>E14-E10</f>
        <v>0</v>
      </c>
      <c r="F15" s="646">
        <f>F14-F10</f>
        <v>0</v>
      </c>
      <c r="G15" s="647">
        <f>G14-G10</f>
        <v>0</v>
      </c>
      <c r="H15" s="645"/>
      <c r="I15" s="685"/>
      <c r="J15" s="645"/>
      <c r="K15" s="684"/>
      <c r="L15" s="644"/>
      <c r="M15" s="645"/>
      <c r="N15" s="682"/>
    </row>
    <row r="16" s="193" customFormat="1" ht="18" customHeight="1" spans="2:14">
      <c r="B16" s="648" t="s">
        <v>303</v>
      </c>
      <c r="C16" s="649">
        <v>1</v>
      </c>
      <c r="D16" s="650"/>
      <c r="E16" s="650"/>
      <c r="F16" s="650"/>
      <c r="G16" s="650"/>
      <c r="H16" s="645"/>
      <c r="I16" s="685"/>
      <c r="J16" s="645"/>
      <c r="K16" s="684"/>
      <c r="L16" s="644"/>
      <c r="M16" s="645"/>
      <c r="N16" s="682"/>
    </row>
    <row r="17" s="193" customFormat="1" ht="18" customHeight="1" spans="2:14">
      <c r="B17" s="648"/>
      <c r="C17" s="649">
        <v>2</v>
      </c>
      <c r="D17" s="650"/>
      <c r="E17" s="650"/>
      <c r="F17" s="650"/>
      <c r="G17" s="650"/>
      <c r="H17" s="645"/>
      <c r="I17" s="685"/>
      <c r="J17" s="645"/>
      <c r="K17" s="684"/>
      <c r="L17" s="644"/>
      <c r="M17" s="645"/>
      <c r="N17" s="682"/>
    </row>
    <row r="18" s="193" customFormat="1" ht="18" customHeight="1" spans="2:14">
      <c r="B18" s="648"/>
      <c r="C18" s="649">
        <v>3</v>
      </c>
      <c r="D18" s="650"/>
      <c r="E18" s="650"/>
      <c r="F18" s="650"/>
      <c r="G18" s="650"/>
      <c r="H18" s="645"/>
      <c r="I18" s="685"/>
      <c r="J18" s="645"/>
      <c r="K18" s="684"/>
      <c r="L18" s="644"/>
      <c r="M18" s="645"/>
      <c r="N18" s="682"/>
    </row>
    <row r="19" s="193" customFormat="1" ht="18" customHeight="1" spans="2:14">
      <c r="B19" s="648"/>
      <c r="C19" s="649">
        <v>4</v>
      </c>
      <c r="D19" s="650"/>
      <c r="E19" s="650"/>
      <c r="F19" s="650"/>
      <c r="G19" s="650"/>
      <c r="H19" s="651"/>
      <c r="I19" s="685"/>
      <c r="J19" s="645"/>
      <c r="K19" s="684"/>
      <c r="L19" s="644"/>
      <c r="M19" s="645"/>
      <c r="N19" s="682"/>
    </row>
    <row r="20" s="193" customFormat="1" ht="27" customHeight="1" spans="2:14">
      <c r="B20" s="648" t="s">
        <v>304</v>
      </c>
      <c r="C20" s="641" t="s">
        <v>305</v>
      </c>
      <c r="D20" s="642" t="s">
        <v>306</v>
      </c>
      <c r="E20" s="643"/>
      <c r="F20" s="643"/>
      <c r="G20" s="644"/>
      <c r="H20" s="645"/>
      <c r="I20" s="685"/>
      <c r="J20" s="645"/>
      <c r="K20" s="684"/>
      <c r="L20" s="644"/>
      <c r="M20" s="645"/>
      <c r="N20" s="682"/>
    </row>
    <row r="21" s="193" customFormat="1" ht="27" customHeight="1" spans="2:14">
      <c r="B21" s="648"/>
      <c r="C21" s="641" t="s">
        <v>307</v>
      </c>
      <c r="D21" s="642" t="s">
        <v>308</v>
      </c>
      <c r="E21" s="643"/>
      <c r="F21" s="643"/>
      <c r="G21" s="644"/>
      <c r="H21" s="645"/>
      <c r="I21" s="685"/>
      <c r="J21" s="645"/>
      <c r="K21" s="684"/>
      <c r="L21" s="644"/>
      <c r="M21" s="645"/>
      <c r="N21" s="682"/>
    </row>
    <row r="22" s="193" customFormat="1" ht="27" customHeight="1" spans="2:14">
      <c r="B22" s="648"/>
      <c r="C22" s="641" t="s">
        <v>309</v>
      </c>
      <c r="D22" s="642" t="s">
        <v>310</v>
      </c>
      <c r="E22" s="652">
        <f t="shared" ref="E22:G22" si="0">E14+E20-E21</f>
        <v>0</v>
      </c>
      <c r="F22" s="652">
        <f t="shared" si="0"/>
        <v>0</v>
      </c>
      <c r="G22" s="653">
        <f t="shared" si="0"/>
        <v>0</v>
      </c>
      <c r="H22" s="645"/>
      <c r="I22" s="685"/>
      <c r="J22" s="645"/>
      <c r="K22" s="684"/>
      <c r="L22" s="644"/>
      <c r="M22" s="645"/>
      <c r="N22" s="682"/>
    </row>
    <row r="23" s="193" customFormat="1" ht="18" customHeight="1" spans="2:14">
      <c r="B23" s="648"/>
      <c r="C23" s="641" t="s">
        <v>311</v>
      </c>
      <c r="D23" s="642" t="s">
        <v>312</v>
      </c>
      <c r="E23" s="643"/>
      <c r="F23" s="643"/>
      <c r="G23" s="644"/>
      <c r="H23" s="645"/>
      <c r="I23" s="685"/>
      <c r="J23" s="645"/>
      <c r="K23" s="684"/>
      <c r="L23" s="644"/>
      <c r="M23" s="645"/>
      <c r="N23" s="682"/>
    </row>
    <row r="24" s="193" customFormat="1" ht="27" customHeight="1" spans="2:14">
      <c r="B24" s="648"/>
      <c r="C24" s="641" t="s">
        <v>313</v>
      </c>
      <c r="D24" s="642" t="s">
        <v>314</v>
      </c>
      <c r="E24" s="646">
        <f>E22*E23</f>
        <v>0</v>
      </c>
      <c r="F24" s="646">
        <f>F22*F23</f>
        <v>0</v>
      </c>
      <c r="G24" s="647">
        <f>G22*G23</f>
        <v>0</v>
      </c>
      <c r="H24" s="645"/>
      <c r="I24" s="685"/>
      <c r="J24" s="645"/>
      <c r="K24" s="684"/>
      <c r="L24" s="644"/>
      <c r="M24" s="645"/>
      <c r="N24" s="682"/>
    </row>
    <row r="25" s="193" customFormat="1" ht="18" customHeight="1" spans="2:14">
      <c r="B25" s="654" t="s">
        <v>315</v>
      </c>
      <c r="C25" s="655"/>
      <c r="D25" s="655"/>
      <c r="E25" s="656">
        <f>SUM(E24:G24)</f>
        <v>0</v>
      </c>
      <c r="F25" s="657"/>
      <c r="G25" s="658"/>
      <c r="H25" s="659" t="s">
        <v>316</v>
      </c>
      <c r="I25" s="686">
        <f t="shared" ref="I25:L25" si="1">SUM(I10:I24)</f>
        <v>0</v>
      </c>
      <c r="J25" s="687"/>
      <c r="K25" s="688">
        <f t="shared" si="1"/>
        <v>0</v>
      </c>
      <c r="L25" s="689">
        <f t="shared" si="1"/>
        <v>0</v>
      </c>
      <c r="M25" s="687"/>
      <c r="N25" s="690">
        <f>SUM(N10:N24)</f>
        <v>0</v>
      </c>
    </row>
    <row r="26" s="193" customFormat="1" ht="18" customHeight="1"/>
    <row r="27" s="193" customFormat="1" ht="12.75" customHeight="1" spans="2:8">
      <c r="B27" s="273" t="s">
        <v>198</v>
      </c>
      <c r="C27" s="327"/>
      <c r="D27" s="197"/>
      <c r="E27" s="197"/>
      <c r="F27" s="197"/>
      <c r="G27" s="197"/>
      <c r="H27" s="197"/>
    </row>
    <row r="28" s="193" customFormat="1" ht="24.75" customHeight="1" spans="2:14">
      <c r="B28" s="660"/>
      <c r="C28" s="203"/>
      <c r="D28" s="235"/>
      <c r="E28" s="235"/>
      <c r="F28" s="235"/>
      <c r="G28" s="235"/>
      <c r="H28" s="235"/>
      <c r="I28" s="691"/>
      <c r="J28" s="691"/>
      <c r="K28" s="691"/>
      <c r="L28" s="691"/>
      <c r="M28" s="691"/>
      <c r="N28" s="692"/>
    </row>
    <row r="29" s="193" customFormat="1" ht="31.5" customHeight="1" spans="2:14">
      <c r="B29" s="661"/>
      <c r="C29" s="662"/>
      <c r="D29" s="663"/>
      <c r="E29" s="663"/>
      <c r="F29" s="663"/>
      <c r="G29" s="663"/>
      <c r="H29" s="663"/>
      <c r="I29" s="207"/>
      <c r="J29" s="207"/>
      <c r="K29" s="207"/>
      <c r="L29" s="207"/>
      <c r="M29" s="207"/>
      <c r="N29" s="340"/>
    </row>
    <row r="30" s="356" customFormat="1" ht="18" customHeight="1" spans="2:13">
      <c r="B30" s="193"/>
      <c r="D30" s="193"/>
      <c r="E30" s="193"/>
      <c r="F30" s="193"/>
      <c r="G30" s="193"/>
      <c r="H30" s="193"/>
      <c r="I30" s="193"/>
      <c r="J30" s="193"/>
      <c r="K30" s="193"/>
      <c r="L30" s="193"/>
      <c r="M30" s="193"/>
    </row>
    <row r="31" s="356" customFormat="1" ht="18" customHeight="1" spans="2:2">
      <c r="B31" s="555" t="s">
        <v>172</v>
      </c>
    </row>
    <row r="32" s="356" customFormat="1" ht="18" customHeight="1" spans="2:2">
      <c r="B32" s="555" t="s">
        <v>317</v>
      </c>
    </row>
    <row r="33" s="356" customFormat="1" ht="18" customHeight="1" spans="2:2">
      <c r="B33" s="664" t="s">
        <v>318</v>
      </c>
    </row>
    <row r="34" s="356" customFormat="1" ht="18" customHeight="1" spans="2:2">
      <c r="B34" s="664" t="s">
        <v>319</v>
      </c>
    </row>
    <row r="35" s="356" customFormat="1" ht="18" customHeight="1" spans="2:2">
      <c r="B35" s="664" t="s">
        <v>320</v>
      </c>
    </row>
    <row r="36" s="193" customFormat="1" ht="18" customHeight="1" spans="2:13">
      <c r="B36" s="664" t="s">
        <v>321</v>
      </c>
      <c r="C36" s="356"/>
      <c r="D36" s="356"/>
      <c r="E36" s="356"/>
      <c r="F36" s="356"/>
      <c r="G36" s="356"/>
      <c r="H36" s="356"/>
      <c r="I36" s="356"/>
      <c r="J36" s="356"/>
      <c r="K36" s="356"/>
      <c r="L36" s="356"/>
      <c r="M36" s="356"/>
    </row>
    <row r="37" s="193" customFormat="1" ht="18" customHeight="1" spans="2:13">
      <c r="B37" s="664" t="s">
        <v>322</v>
      </c>
      <c r="C37" s="356"/>
      <c r="D37" s="356"/>
      <c r="E37" s="356"/>
      <c r="F37" s="356"/>
      <c r="G37" s="356"/>
      <c r="H37" s="356"/>
      <c r="I37" s="356"/>
      <c r="J37" s="356"/>
      <c r="K37" s="356"/>
      <c r="L37" s="356"/>
      <c r="M37" s="356"/>
    </row>
    <row r="38" s="193" customFormat="1" ht="18" customHeight="1" spans="3:7">
      <c r="C38" s="356"/>
      <c r="D38" s="356"/>
      <c r="E38" s="356"/>
      <c r="F38" s="356"/>
      <c r="G38" s="356"/>
    </row>
    <row r="39" s="193" customFormat="1" ht="18" customHeight="1" spans="2:2">
      <c r="B39" s="665"/>
    </row>
    <row r="40" s="193" customFormat="1" ht="18" customHeight="1" spans="2:2">
      <c r="B40" s="665"/>
    </row>
    <row r="41" s="193" customFormat="1" ht="18" customHeight="1" spans="2:2">
      <c r="B41" s="665"/>
    </row>
    <row r="42" s="193" customFormat="1" ht="18" customHeight="1" spans="2:2">
      <c r="B42" s="665"/>
    </row>
    <row r="43" s="193" customFormat="1" ht="18" customHeight="1" spans="2:2">
      <c r="B43" s="665"/>
    </row>
    <row r="44" s="193" customFormat="1" ht="18" customHeight="1" spans="2:2">
      <c r="B44" s="665"/>
    </row>
    <row r="45" s="193" customFormat="1" ht="18" customHeight="1" spans="2:2">
      <c r="B45" s="665"/>
    </row>
    <row r="46" s="193" customFormat="1" ht="18" customHeight="1" spans="2:2">
      <c r="B46" s="665"/>
    </row>
    <row r="47" s="193" customFormat="1" ht="18" customHeight="1" spans="2:2">
      <c r="B47" s="665"/>
    </row>
    <row r="48" s="193" customFormat="1" ht="18" customHeight="1" spans="2:2">
      <c r="B48" s="665"/>
    </row>
    <row r="49" s="193" customFormat="1" ht="18" customHeight="1" spans="2:2">
      <c r="B49" s="665"/>
    </row>
    <row r="50" s="193" customFormat="1" ht="18" customHeight="1" spans="2:2">
      <c r="B50" s="665"/>
    </row>
    <row r="51" s="193" customFormat="1" ht="18" customHeight="1" spans="2:2">
      <c r="B51" s="665"/>
    </row>
    <row r="52" s="193" customFormat="1" ht="18" customHeight="1" spans="2:2">
      <c r="B52" s="665"/>
    </row>
    <row r="53" s="193" customFormat="1" ht="18" customHeight="1" spans="2:2">
      <c r="B53" s="665"/>
    </row>
    <row r="54" s="193" customFormat="1" spans="2:2">
      <c r="B54" s="665"/>
    </row>
    <row r="55" s="193" customFormat="1" spans="2:2">
      <c r="B55" s="665"/>
    </row>
    <row r="56" s="193" customFormat="1" spans="2:2">
      <c r="B56" s="665"/>
    </row>
    <row r="57" s="193" customFormat="1" spans="2:2">
      <c r="B57" s="665"/>
    </row>
    <row r="58" s="193" customFormat="1" spans="2:2">
      <c r="B58" s="665"/>
    </row>
    <row r="59" s="193" customFormat="1" spans="2:2">
      <c r="B59" s="665"/>
    </row>
    <row r="60" s="193" customFormat="1" spans="2:2">
      <c r="B60" s="665"/>
    </row>
    <row r="61" s="193" customFormat="1" spans="2:2">
      <c r="B61" s="665"/>
    </row>
    <row r="62" s="193" customFormat="1" spans="2:2">
      <c r="B62" s="665"/>
    </row>
    <row r="63" s="193" customFormat="1" spans="2:2">
      <c r="B63" s="665"/>
    </row>
    <row r="64" s="193" customFormat="1"/>
    <row r="65" s="193" customFormat="1"/>
    <row r="66" s="193" customFormat="1"/>
    <row r="67" s="193" customFormat="1"/>
    <row r="68" s="193" customFormat="1"/>
    <row r="69" s="193" customFormat="1"/>
    <row r="70" s="193" customFormat="1"/>
    <row r="71" s="193" customFormat="1"/>
    <row r="72" s="193" customFormat="1"/>
    <row r="73" s="193" customFormat="1"/>
    <row r="74" s="193" customFormat="1"/>
    <row r="75" s="193" customFormat="1"/>
    <row r="76" s="193" customFormat="1"/>
    <row r="77" s="193" customFormat="1"/>
    <row r="78" s="193" customFormat="1"/>
  </sheetData>
  <mergeCells count="27">
    <mergeCell ref="C4:G4"/>
    <mergeCell ref="I4:N4"/>
    <mergeCell ref="C5:G5"/>
    <mergeCell ref="I5:N5"/>
    <mergeCell ref="C6:G6"/>
    <mergeCell ref="I6:N6"/>
    <mergeCell ref="C7:G7"/>
    <mergeCell ref="I7:N7"/>
    <mergeCell ref="B8:G8"/>
    <mergeCell ref="H8:I8"/>
    <mergeCell ref="J8:L8"/>
    <mergeCell ref="M8:N8"/>
    <mergeCell ref="B9:C9"/>
    <mergeCell ref="B10:C10"/>
    <mergeCell ref="B11:C11"/>
    <mergeCell ref="B12:C12"/>
    <mergeCell ref="B13:C13"/>
    <mergeCell ref="B14:C14"/>
    <mergeCell ref="B15:C15"/>
    <mergeCell ref="C16:G16"/>
    <mergeCell ref="C17:G17"/>
    <mergeCell ref="C18:G18"/>
    <mergeCell ref="C19:G19"/>
    <mergeCell ref="B25:D25"/>
    <mergeCell ref="E25:G25"/>
    <mergeCell ref="B16:B19"/>
    <mergeCell ref="B20:B24"/>
  </mergeCells>
  <hyperlinks>
    <hyperlink ref="A1" location="'目录'!C10" display="&lt;&lt;"/>
  </hyperlinks>
  <printOptions horizontalCentered="1"/>
  <pageMargins left="0.590551181102362" right="0.196850393700787" top="0.984251968503937" bottom="0.984251968503937" header="0.511811023622047" footer="0.511811023622047"/>
  <pageSetup paperSize="9" scale="72" orientation="landscape" blackAndWhite="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N38"/>
  <sheetViews>
    <sheetView showGridLines="0" zoomScale="71" zoomScaleNormal="71" workbookViewId="0">
      <pane xSplit="5" ySplit="5" topLeftCell="F28" activePane="bottomRight" state="frozen"/>
      <selection/>
      <selection pane="topRight"/>
      <selection pane="bottomLeft"/>
      <selection pane="bottomRight" activeCell="B29" sqref="B29"/>
    </sheetView>
  </sheetViews>
  <sheetFormatPr defaultColWidth="9" defaultRowHeight="15"/>
  <cols>
    <col min="1" max="1" width="2.6" customWidth="1"/>
    <col min="2" max="2" width="6.1" customWidth="1"/>
    <col min="3" max="3" width="10.1" customWidth="1"/>
    <col min="4" max="4" width="17.1" customWidth="1"/>
    <col min="5" max="5" width="42.3583333333333" customWidth="1"/>
    <col min="7" max="8" width="9" style="571" customWidth="1"/>
    <col min="9" max="9" width="8.4" customWidth="1"/>
    <col min="10" max="10" width="12.4" customWidth="1"/>
    <col min="11" max="12" width="16" customWidth="1"/>
    <col min="13" max="13" width="7.9" customWidth="1"/>
    <col min="14" max="14" width="10" customWidth="1"/>
  </cols>
  <sheetData>
    <row r="1" s="421" customFormat="1" ht="28.5" customHeight="1" spans="1:14">
      <c r="A1" s="65" t="s">
        <v>58</v>
      </c>
      <c r="B1" s="524" t="s">
        <v>38</v>
      </c>
      <c r="C1" s="524"/>
      <c r="D1" s="527"/>
      <c r="E1" s="527"/>
      <c r="F1" s="527"/>
      <c r="G1" s="527"/>
      <c r="H1" s="527"/>
      <c r="I1" s="527"/>
      <c r="J1" s="527"/>
      <c r="K1" s="527"/>
      <c r="L1" s="527"/>
      <c r="M1" s="153" t="s">
        <v>59</v>
      </c>
      <c r="N1" s="126" t="str">
        <f>目录!E11</f>
        <v>1010-5</v>
      </c>
    </row>
    <row r="2" s="421" customFormat="1" ht="26.1" customHeight="1" spans="2:14">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2"/>
      <c r="D2" s="529"/>
      <c r="E2" s="529"/>
      <c r="F2" s="529"/>
      <c r="G2" s="530"/>
      <c r="H2" s="530"/>
      <c r="I2" s="153"/>
      <c r="J2" s="153"/>
      <c r="K2" s="476"/>
      <c r="M2" s="557"/>
      <c r="N2" s="128"/>
    </row>
    <row r="3" s="421" customFormat="1" ht="12" customHeight="1" spans="2:14">
      <c r="B3" s="531"/>
      <c r="C3" s="531"/>
      <c r="D3" s="529"/>
      <c r="E3" s="529"/>
      <c r="F3" s="529"/>
      <c r="G3" s="530"/>
      <c r="H3" s="530"/>
      <c r="I3" s="531"/>
      <c r="J3" s="531"/>
      <c r="K3" s="529"/>
      <c r="L3" s="529"/>
      <c r="M3" s="529"/>
      <c r="N3" s="529"/>
    </row>
    <row r="4" ht="18.9" customHeight="1" spans="2:14">
      <c r="B4" s="572" t="s">
        <v>79</v>
      </c>
      <c r="C4" s="573" t="s">
        <v>223</v>
      </c>
      <c r="D4" s="574" t="s">
        <v>323</v>
      </c>
      <c r="E4" s="575"/>
      <c r="F4" s="575"/>
      <c r="G4" s="575"/>
      <c r="H4" s="575"/>
      <c r="I4" s="606"/>
      <c r="J4" s="574" t="s">
        <v>324</v>
      </c>
      <c r="K4" s="575"/>
      <c r="L4" s="575"/>
      <c r="M4" s="606"/>
      <c r="N4" s="607" t="s">
        <v>325</v>
      </c>
    </row>
    <row r="5" ht="18.9" customHeight="1" spans="2:14">
      <c r="B5" s="576"/>
      <c r="C5" s="577"/>
      <c r="D5" s="578" t="s">
        <v>246</v>
      </c>
      <c r="E5" s="579" t="s">
        <v>326</v>
      </c>
      <c r="F5" s="580" t="s">
        <v>224</v>
      </c>
      <c r="G5" s="581" t="s">
        <v>327</v>
      </c>
      <c r="H5" s="581" t="s">
        <v>328</v>
      </c>
      <c r="I5" s="577" t="s">
        <v>329</v>
      </c>
      <c r="J5" s="578" t="s">
        <v>223</v>
      </c>
      <c r="K5" s="578" t="s">
        <v>246</v>
      </c>
      <c r="L5" s="608" t="s">
        <v>326</v>
      </c>
      <c r="M5" s="608" t="s">
        <v>224</v>
      </c>
      <c r="N5" s="609"/>
    </row>
    <row r="6" ht="24" spans="2:14">
      <c r="B6" s="582">
        <v>1</v>
      </c>
      <c r="C6" s="583" t="s">
        <v>11</v>
      </c>
      <c r="D6" s="584" t="s">
        <v>330</v>
      </c>
      <c r="E6" s="585" t="s">
        <v>331</v>
      </c>
      <c r="F6" s="586" t="s">
        <v>253</v>
      </c>
      <c r="G6" s="587" t="s">
        <v>332</v>
      </c>
      <c r="H6" s="587" t="s">
        <v>333</v>
      </c>
      <c r="I6" s="586" t="s">
        <v>334</v>
      </c>
      <c r="J6" s="586"/>
      <c r="K6" s="610"/>
      <c r="L6" s="610"/>
      <c r="M6" s="611"/>
      <c r="N6" s="612"/>
    </row>
    <row r="7" ht="24" spans="2:14">
      <c r="B7" s="582">
        <v>2</v>
      </c>
      <c r="C7" s="583" t="s">
        <v>11</v>
      </c>
      <c r="D7" s="584" t="s">
        <v>335</v>
      </c>
      <c r="E7" s="585" t="s">
        <v>336</v>
      </c>
      <c r="F7" s="586" t="s">
        <v>253</v>
      </c>
      <c r="G7" s="587" t="s">
        <v>337</v>
      </c>
      <c r="H7" s="587" t="s">
        <v>338</v>
      </c>
      <c r="I7" s="586" t="s">
        <v>334</v>
      </c>
      <c r="J7" s="586"/>
      <c r="K7" s="610"/>
      <c r="L7" s="610"/>
      <c r="M7" s="613"/>
      <c r="N7" s="612"/>
    </row>
    <row r="8" ht="24" spans="2:14">
      <c r="B8" s="582">
        <v>3</v>
      </c>
      <c r="C8" s="583" t="s">
        <v>11</v>
      </c>
      <c r="D8" s="584" t="s">
        <v>339</v>
      </c>
      <c r="E8" s="585" t="s">
        <v>252</v>
      </c>
      <c r="F8" s="586" t="s">
        <v>253</v>
      </c>
      <c r="G8" s="587" t="s">
        <v>340</v>
      </c>
      <c r="H8" s="587"/>
      <c r="I8" s="586" t="s">
        <v>341</v>
      </c>
      <c r="J8" s="586" t="s">
        <v>11</v>
      </c>
      <c r="K8" s="614" t="s">
        <v>342</v>
      </c>
      <c r="L8" s="984" t="s">
        <v>252</v>
      </c>
      <c r="M8" s="613" t="s">
        <v>253</v>
      </c>
      <c r="N8" s="612" t="s">
        <v>7</v>
      </c>
    </row>
    <row r="9" ht="24" spans="2:14">
      <c r="B9" s="582">
        <v>4</v>
      </c>
      <c r="C9" s="583" t="s">
        <v>11</v>
      </c>
      <c r="D9" s="584" t="s">
        <v>343</v>
      </c>
      <c r="E9" s="585" t="s">
        <v>256</v>
      </c>
      <c r="F9" s="586" t="s">
        <v>253</v>
      </c>
      <c r="G9" s="587" t="s">
        <v>344</v>
      </c>
      <c r="H9" s="587"/>
      <c r="I9" s="586" t="s">
        <v>341</v>
      </c>
      <c r="J9" s="586" t="s">
        <v>11</v>
      </c>
      <c r="K9" s="614" t="s">
        <v>345</v>
      </c>
      <c r="L9" s="610" t="s">
        <v>256</v>
      </c>
      <c r="M9" s="613" t="s">
        <v>253</v>
      </c>
      <c r="N9" s="612" t="s">
        <v>7</v>
      </c>
    </row>
    <row r="10" spans="2:14">
      <c r="B10" s="582"/>
      <c r="C10" s="583"/>
      <c r="D10" s="584"/>
      <c r="E10" s="585"/>
      <c r="F10" s="586"/>
      <c r="G10" s="587"/>
      <c r="H10" s="587"/>
      <c r="I10" s="586"/>
      <c r="J10" s="586"/>
      <c r="K10" s="614"/>
      <c r="L10" s="610"/>
      <c r="M10" s="613"/>
      <c r="N10" s="612"/>
    </row>
    <row r="11" ht="15.9" customHeight="1" spans="2:14">
      <c r="B11" s="582"/>
      <c r="C11" s="583"/>
      <c r="D11" s="584"/>
      <c r="E11" s="585"/>
      <c r="F11" s="586"/>
      <c r="G11" s="587"/>
      <c r="H11" s="587"/>
      <c r="I11" s="586"/>
      <c r="J11" s="586"/>
      <c r="K11" s="610"/>
      <c r="L11" s="610"/>
      <c r="M11" s="613"/>
      <c r="N11" s="612"/>
    </row>
    <row r="12" ht="15.9" customHeight="1" spans="2:14">
      <c r="B12" s="582"/>
      <c r="C12" s="583"/>
      <c r="D12" s="584"/>
      <c r="E12" s="585"/>
      <c r="F12" s="586"/>
      <c r="G12" s="587"/>
      <c r="H12" s="587"/>
      <c r="I12" s="586"/>
      <c r="J12" s="586"/>
      <c r="K12" s="610"/>
      <c r="L12" s="610"/>
      <c r="M12" s="613"/>
      <c r="N12" s="612"/>
    </row>
    <row r="13" ht="15.9" customHeight="1" spans="2:14">
      <c r="B13" s="582"/>
      <c r="C13" s="583"/>
      <c r="D13" s="584"/>
      <c r="E13" s="585"/>
      <c r="F13" s="586"/>
      <c r="G13" s="587"/>
      <c r="H13" s="587"/>
      <c r="I13" s="586"/>
      <c r="J13" s="586"/>
      <c r="K13" s="610"/>
      <c r="L13" s="610"/>
      <c r="M13" s="613"/>
      <c r="N13" s="612"/>
    </row>
    <row r="14" ht="15.9" customHeight="1" spans="2:14">
      <c r="B14" s="582"/>
      <c r="C14" s="583"/>
      <c r="D14" s="584"/>
      <c r="E14" s="585"/>
      <c r="F14" s="586"/>
      <c r="G14" s="587"/>
      <c r="H14" s="587"/>
      <c r="I14" s="586"/>
      <c r="J14" s="586"/>
      <c r="K14" s="610"/>
      <c r="L14" s="610"/>
      <c r="M14" s="613"/>
      <c r="N14" s="612"/>
    </row>
    <row r="15" ht="15.9" customHeight="1" spans="2:14">
      <c r="B15" s="582"/>
      <c r="C15" s="583"/>
      <c r="D15" s="584"/>
      <c r="E15" s="585"/>
      <c r="F15" s="586"/>
      <c r="G15" s="587"/>
      <c r="H15" s="587"/>
      <c r="I15" s="586"/>
      <c r="J15" s="586"/>
      <c r="K15" s="610"/>
      <c r="L15" s="610"/>
      <c r="M15" s="613"/>
      <c r="N15" s="612"/>
    </row>
    <row r="16" ht="15.9" customHeight="1" spans="2:14">
      <c r="B16" s="582"/>
      <c r="C16" s="583"/>
      <c r="D16" s="584"/>
      <c r="E16" s="585"/>
      <c r="F16" s="586"/>
      <c r="G16" s="587"/>
      <c r="H16" s="587"/>
      <c r="I16" s="586"/>
      <c r="J16" s="586"/>
      <c r="K16" s="610"/>
      <c r="L16" s="610"/>
      <c r="M16" s="613"/>
      <c r="N16" s="612"/>
    </row>
    <row r="17" ht="15.9" customHeight="1" spans="2:14">
      <c r="B17" s="582"/>
      <c r="C17" s="583"/>
      <c r="D17" s="584"/>
      <c r="E17" s="585"/>
      <c r="F17" s="586"/>
      <c r="G17" s="587"/>
      <c r="H17" s="587"/>
      <c r="I17" s="586"/>
      <c r="J17" s="586"/>
      <c r="K17" s="610"/>
      <c r="L17" s="610"/>
      <c r="M17" s="613"/>
      <c r="N17" s="612"/>
    </row>
    <row r="18" ht="15.9" customHeight="1" spans="2:14">
      <c r="B18" s="582"/>
      <c r="C18" s="583"/>
      <c r="D18" s="584"/>
      <c r="E18" s="585"/>
      <c r="F18" s="586"/>
      <c r="G18" s="587"/>
      <c r="H18" s="587"/>
      <c r="I18" s="586"/>
      <c r="J18" s="586"/>
      <c r="K18" s="610"/>
      <c r="L18" s="610"/>
      <c r="M18" s="613"/>
      <c r="N18" s="612"/>
    </row>
    <row r="19" ht="15.9" customHeight="1" spans="2:14">
      <c r="B19" s="582"/>
      <c r="C19" s="583"/>
      <c r="D19" s="584"/>
      <c r="E19" s="585"/>
      <c r="F19" s="586"/>
      <c r="G19" s="587"/>
      <c r="H19" s="587"/>
      <c r="I19" s="586"/>
      <c r="J19" s="586"/>
      <c r="K19" s="610"/>
      <c r="L19" s="610"/>
      <c r="M19" s="613"/>
      <c r="N19" s="612"/>
    </row>
    <row r="20" ht="15.9" customHeight="1" spans="2:14">
      <c r="B20" s="582"/>
      <c r="C20" s="583"/>
      <c r="D20" s="584"/>
      <c r="E20" s="585"/>
      <c r="F20" s="586"/>
      <c r="G20" s="587"/>
      <c r="H20" s="587"/>
      <c r="I20" s="586"/>
      <c r="J20" s="586"/>
      <c r="K20" s="610"/>
      <c r="L20" s="610"/>
      <c r="M20" s="613"/>
      <c r="N20" s="612"/>
    </row>
    <row r="21" ht="15.9" customHeight="1" spans="2:14">
      <c r="B21" s="582"/>
      <c r="C21" s="583"/>
      <c r="D21" s="584"/>
      <c r="E21" s="585"/>
      <c r="F21" s="586"/>
      <c r="G21" s="587"/>
      <c r="H21" s="587"/>
      <c r="I21" s="586"/>
      <c r="J21" s="586"/>
      <c r="K21" s="610"/>
      <c r="L21" s="610"/>
      <c r="M21" s="613"/>
      <c r="N21" s="612"/>
    </row>
    <row r="22" ht="15.9" customHeight="1" spans="2:14">
      <c r="B22" s="582"/>
      <c r="C22" s="583"/>
      <c r="D22" s="584"/>
      <c r="E22" s="585"/>
      <c r="F22" s="586"/>
      <c r="G22" s="587"/>
      <c r="H22" s="587"/>
      <c r="I22" s="586"/>
      <c r="J22" s="586"/>
      <c r="K22" s="610"/>
      <c r="L22" s="610"/>
      <c r="M22" s="613"/>
      <c r="N22" s="612"/>
    </row>
    <row r="23" ht="15.9" customHeight="1" spans="2:14">
      <c r="B23" s="582"/>
      <c r="C23" s="583"/>
      <c r="D23" s="584"/>
      <c r="E23" s="585"/>
      <c r="F23" s="586"/>
      <c r="G23" s="587"/>
      <c r="H23" s="587"/>
      <c r="I23" s="586"/>
      <c r="J23" s="586"/>
      <c r="K23" s="610"/>
      <c r="L23" s="610"/>
      <c r="M23" s="613"/>
      <c r="N23" s="612"/>
    </row>
    <row r="24" ht="15.9" customHeight="1" spans="2:14">
      <c r="B24" s="582"/>
      <c r="C24" s="583"/>
      <c r="D24" s="584"/>
      <c r="E24" s="585"/>
      <c r="F24" s="586"/>
      <c r="G24" s="587"/>
      <c r="H24" s="587"/>
      <c r="I24" s="586"/>
      <c r="J24" s="586"/>
      <c r="K24" s="610"/>
      <c r="L24" s="610"/>
      <c r="M24" s="613"/>
      <c r="N24" s="612"/>
    </row>
    <row r="25" ht="15.9" customHeight="1" spans="2:14">
      <c r="B25" s="588"/>
      <c r="C25" s="589"/>
      <c r="D25" s="590"/>
      <c r="E25" s="591"/>
      <c r="F25" s="592"/>
      <c r="G25" s="593"/>
      <c r="H25" s="593"/>
      <c r="I25" s="592"/>
      <c r="J25" s="592"/>
      <c r="K25" s="615"/>
      <c r="L25" s="615"/>
      <c r="M25" s="616"/>
      <c r="N25" s="617"/>
    </row>
    <row r="26" ht="15.9" customHeight="1" spans="2:14">
      <c r="B26" s="594"/>
      <c r="C26" s="595"/>
      <c r="D26" s="596"/>
      <c r="E26" s="596"/>
      <c r="F26" s="596"/>
      <c r="G26" s="597"/>
      <c r="H26" s="597"/>
      <c r="I26" s="596"/>
      <c r="J26" s="596"/>
      <c r="K26" s="596"/>
      <c r="L26" s="596"/>
      <c r="M26" s="596"/>
      <c r="N26" s="596"/>
    </row>
    <row r="27" ht="15.9" customHeight="1" spans="2:14">
      <c r="B27" s="594"/>
      <c r="C27" s="595"/>
      <c r="D27" s="596"/>
      <c r="E27" s="596"/>
      <c r="F27" s="596"/>
      <c r="G27" s="597"/>
      <c r="H27" s="597"/>
      <c r="I27" s="596"/>
      <c r="J27" s="596"/>
      <c r="K27" s="596"/>
      <c r="L27" s="596"/>
      <c r="M27" s="596"/>
      <c r="N27" s="596"/>
    </row>
    <row r="28" ht="15.9" customHeight="1" spans="2:14">
      <c r="B28" s="594"/>
      <c r="C28" s="595"/>
      <c r="D28" s="596"/>
      <c r="E28" s="596"/>
      <c r="F28" s="596"/>
      <c r="G28" s="597"/>
      <c r="H28" s="597"/>
      <c r="I28" s="596"/>
      <c r="J28" s="596"/>
      <c r="K28" s="596"/>
      <c r="L28" s="596"/>
      <c r="M28" s="596"/>
      <c r="N28" s="596"/>
    </row>
    <row r="29" ht="57" customHeight="1" spans="2:14">
      <c r="B29" s="595" t="s">
        <v>198</v>
      </c>
      <c r="C29" s="595"/>
      <c r="D29" s="596"/>
      <c r="E29" s="596"/>
      <c r="F29" s="596"/>
      <c r="G29" s="597"/>
      <c r="H29" s="597"/>
      <c r="I29" s="596"/>
      <c r="J29" s="596"/>
      <c r="K29" s="596"/>
      <c r="L29" s="596"/>
      <c r="M29" s="596"/>
      <c r="N29" s="596"/>
    </row>
    <row r="30" hidden="1" spans="2:14">
      <c r="B30" s="598" t="s">
        <v>346</v>
      </c>
      <c r="C30" s="599"/>
      <c r="D30" s="599"/>
      <c r="E30" s="599"/>
      <c r="F30" s="599"/>
      <c r="G30" s="599"/>
      <c r="H30" s="599"/>
      <c r="I30" s="599"/>
      <c r="J30" s="599"/>
      <c r="K30" s="599"/>
      <c r="L30" s="599"/>
      <c r="M30" s="599"/>
      <c r="N30" s="618"/>
    </row>
    <row r="31" ht="45" hidden="1" customHeight="1" spans="2:14">
      <c r="B31" s="600"/>
      <c r="C31" s="601"/>
      <c r="D31" s="601"/>
      <c r="E31" s="601"/>
      <c r="F31" s="601"/>
      <c r="G31" s="601"/>
      <c r="H31" s="601"/>
      <c r="I31" s="601"/>
      <c r="J31" s="601"/>
      <c r="K31" s="601"/>
      <c r="L31" s="601"/>
      <c r="M31" s="601"/>
      <c r="N31" s="619"/>
    </row>
    <row r="32" ht="54" hidden="1" customHeight="1" spans="2:14">
      <c r="B32" s="600" t="s">
        <v>347</v>
      </c>
      <c r="C32" s="601"/>
      <c r="D32" s="601"/>
      <c r="E32" s="601"/>
      <c r="F32" s="601"/>
      <c r="G32" s="601"/>
      <c r="H32" s="601"/>
      <c r="I32" s="601"/>
      <c r="J32" s="601"/>
      <c r="K32" s="601"/>
      <c r="L32" s="601"/>
      <c r="M32" s="601"/>
      <c r="N32" s="619"/>
    </row>
    <row r="33" ht="50" hidden="1" customHeight="1" spans="2:14">
      <c r="B33" s="602"/>
      <c r="C33" s="603"/>
      <c r="D33" s="603"/>
      <c r="E33" s="603"/>
      <c r="F33" s="603"/>
      <c r="G33" s="603"/>
      <c r="H33" s="603"/>
      <c r="I33" s="603"/>
      <c r="J33" s="603"/>
      <c r="K33" s="603"/>
      <c r="L33" s="603"/>
      <c r="M33" s="603"/>
      <c r="N33" s="620"/>
    </row>
    <row r="34" ht="15.5" spans="7:8">
      <c r="G34" s="604"/>
      <c r="H34" s="604"/>
    </row>
    <row r="35" ht="15.5" spans="2:14">
      <c r="B35" s="555" t="s">
        <v>172</v>
      </c>
      <c r="C35" s="555"/>
      <c r="D35" s="522"/>
      <c r="E35" s="522"/>
      <c r="F35" s="522"/>
      <c r="G35" s="522"/>
      <c r="H35" s="605"/>
      <c r="I35" s="605"/>
      <c r="J35" s="605"/>
      <c r="K35" s="522"/>
      <c r="L35" s="522"/>
      <c r="M35" s="522"/>
      <c r="N35" s="522"/>
    </row>
    <row r="36" spans="2:14">
      <c r="B36" s="556" t="s">
        <v>348</v>
      </c>
      <c r="C36" s="556"/>
      <c r="D36" s="556"/>
      <c r="E36" s="556"/>
      <c r="F36" s="556"/>
      <c r="G36" s="556"/>
      <c r="H36" s="556"/>
      <c r="I36" s="556"/>
      <c r="J36" s="556"/>
      <c r="K36" s="556"/>
      <c r="L36" s="556"/>
      <c r="M36" s="556"/>
      <c r="N36" s="556"/>
    </row>
    <row r="37" spans="2:14">
      <c r="B37" s="556"/>
      <c r="C37" s="556"/>
      <c r="D37" s="556"/>
      <c r="E37" s="556"/>
      <c r="F37" s="556"/>
      <c r="G37" s="556"/>
      <c r="H37" s="556"/>
      <c r="I37" s="556"/>
      <c r="J37" s="556"/>
      <c r="K37" s="556"/>
      <c r="L37" s="556"/>
      <c r="M37" s="556"/>
      <c r="N37" s="556"/>
    </row>
    <row r="38" ht="15.5" spans="7:8">
      <c r="G38" s="604"/>
      <c r="H38" s="604"/>
    </row>
  </sheetData>
  <mergeCells count="8">
    <mergeCell ref="D4:I4"/>
    <mergeCell ref="J4:M4"/>
    <mergeCell ref="B4:B5"/>
    <mergeCell ref="C4:C5"/>
    <mergeCell ref="N4:N5"/>
    <mergeCell ref="B36:N37"/>
    <mergeCell ref="B32:N33"/>
    <mergeCell ref="B30:N31"/>
  </mergeCells>
  <dataValidations count="1">
    <dataValidation type="list" allowBlank="1" showInputMessage="1" showErrorMessage="1" sqref="N6:N25">
      <formula1>"是,否"</formula1>
    </dataValidation>
  </dataValidations>
  <hyperlinks>
    <hyperlink ref="A1" location="'目录'!C11" display="&lt;&lt;"/>
  </hyperlinks>
  <printOptions horizontalCentered="1"/>
  <pageMargins left="0.196850393700787" right="0.196850393700787" top="0.984251968503937" bottom="0.984251968503937" header="0.511811023622047" footer="0.511811023622047"/>
  <pageSetup paperSize="9" scale="85" orientation="landscape" blackAndWhite="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O25"/>
  <sheetViews>
    <sheetView showGridLines="0" workbookViewId="0">
      <pane ySplit="4" topLeftCell="A5" activePane="bottomLeft" state="frozen"/>
      <selection/>
      <selection pane="bottomLeft" activeCell="B1" sqref="B1"/>
    </sheetView>
  </sheetViews>
  <sheetFormatPr defaultColWidth="9" defaultRowHeight="13"/>
  <cols>
    <col min="1" max="1" width="2.6" style="342" customWidth="1"/>
    <col min="2" max="2" width="4.6" style="342" customWidth="1"/>
    <col min="3" max="3" width="15.1" style="342" customWidth="1"/>
    <col min="4" max="4" width="19.1" style="342" customWidth="1"/>
    <col min="5" max="5" width="15.5" style="342" customWidth="1"/>
    <col min="6" max="6" width="8.9" style="342" customWidth="1"/>
    <col min="7" max="7" width="12.5" style="342" customWidth="1"/>
    <col min="8" max="10" width="11" style="523" customWidth="1"/>
    <col min="11" max="11" width="8.4" style="342" customWidth="1"/>
    <col min="12" max="12" width="8.5" style="342" customWidth="1"/>
    <col min="13" max="13" width="12.5" style="342" customWidth="1"/>
    <col min="14" max="14" width="9.4" style="342" customWidth="1"/>
    <col min="15" max="15" width="11.4" style="342" customWidth="1"/>
    <col min="16" max="16384" width="9" style="342"/>
  </cols>
  <sheetData>
    <row r="1" s="242" customFormat="1" ht="28.5" customHeight="1" spans="1:15">
      <c r="A1" s="65" t="s">
        <v>58</v>
      </c>
      <c r="B1" s="524" t="s">
        <v>40</v>
      </c>
      <c r="C1" s="525"/>
      <c r="D1" s="526"/>
      <c r="E1" s="527"/>
      <c r="F1" s="527"/>
      <c r="G1" s="527"/>
      <c r="H1" s="527"/>
      <c r="I1" s="527"/>
      <c r="J1" s="527"/>
      <c r="K1" s="527"/>
      <c r="L1" s="527"/>
      <c r="M1" s="527"/>
      <c r="N1" s="153" t="s">
        <v>59</v>
      </c>
      <c r="O1" s="126" t="str">
        <f>目录!E12</f>
        <v>1010-6</v>
      </c>
    </row>
    <row r="2" s="242" customFormat="1" ht="26.1" customHeight="1" spans="2:15">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528"/>
      <c r="E2" s="529"/>
      <c r="F2" s="529"/>
      <c r="G2" s="529"/>
      <c r="H2" s="530"/>
      <c r="I2" s="530"/>
      <c r="J2" s="530"/>
      <c r="K2" s="153"/>
      <c r="L2" s="476"/>
      <c r="N2" s="557"/>
      <c r="O2" s="128"/>
    </row>
    <row r="3" s="242" customFormat="1" ht="12" customHeight="1" spans="2:15">
      <c r="B3" s="531"/>
      <c r="C3" s="531"/>
      <c r="D3" s="531"/>
      <c r="E3" s="529"/>
      <c r="F3" s="529"/>
      <c r="G3" s="529"/>
      <c r="H3" s="530"/>
      <c r="I3" s="530"/>
      <c r="J3" s="530"/>
      <c r="K3" s="531"/>
      <c r="L3" s="529"/>
      <c r="M3" s="529"/>
      <c r="N3" s="529"/>
      <c r="O3" s="529"/>
    </row>
    <row r="4" s="522" customFormat="1" ht="35.1" customHeight="1" spans="2:15">
      <c r="B4" s="532" t="s">
        <v>79</v>
      </c>
      <c r="C4" s="533" t="s">
        <v>223</v>
      </c>
      <c r="D4" s="533" t="s">
        <v>349</v>
      </c>
      <c r="E4" s="534" t="s">
        <v>326</v>
      </c>
      <c r="F4" s="534" t="s">
        <v>224</v>
      </c>
      <c r="G4" s="534" t="s">
        <v>248</v>
      </c>
      <c r="H4" s="535" t="s">
        <v>350</v>
      </c>
      <c r="I4" s="535" t="s">
        <v>351</v>
      </c>
      <c r="J4" s="535" t="s">
        <v>352</v>
      </c>
      <c r="K4" s="535" t="s">
        <v>353</v>
      </c>
      <c r="L4" s="535" t="s">
        <v>354</v>
      </c>
      <c r="M4" s="535" t="s">
        <v>355</v>
      </c>
      <c r="N4" s="558" t="s">
        <v>182</v>
      </c>
      <c r="O4" s="559" t="s">
        <v>356</v>
      </c>
    </row>
    <row r="5" s="522" customFormat="1" ht="17.1" customHeight="1" spans="2:15">
      <c r="B5" s="536"/>
      <c r="C5" s="537"/>
      <c r="D5" s="538"/>
      <c r="E5" s="539"/>
      <c r="F5" s="540"/>
      <c r="G5" s="540"/>
      <c r="H5" s="541"/>
      <c r="I5" s="541"/>
      <c r="J5" s="560">
        <f>H5-I5</f>
        <v>0</v>
      </c>
      <c r="K5" s="561"/>
      <c r="L5" s="561"/>
      <c r="M5" s="561"/>
      <c r="N5" s="562"/>
      <c r="O5" s="563"/>
    </row>
    <row r="6" s="522" customFormat="1" ht="17.1" customHeight="1" spans="2:15">
      <c r="B6" s="536"/>
      <c r="C6" s="537"/>
      <c r="D6" s="538"/>
      <c r="E6" s="539"/>
      <c r="F6" s="540"/>
      <c r="G6" s="540"/>
      <c r="H6" s="541"/>
      <c r="I6" s="541"/>
      <c r="J6" s="560">
        <f t="shared" ref="J6:J15" si="0">H6-I6</f>
        <v>0</v>
      </c>
      <c r="K6" s="561"/>
      <c r="L6" s="561"/>
      <c r="M6" s="561"/>
      <c r="N6" s="562"/>
      <c r="O6" s="563"/>
    </row>
    <row r="7" s="522" customFormat="1" ht="17.1" customHeight="1" spans="2:15">
      <c r="B7" s="536"/>
      <c r="C7" s="537"/>
      <c r="D7" s="538"/>
      <c r="E7" s="539"/>
      <c r="F7" s="540"/>
      <c r="G7" s="540"/>
      <c r="H7" s="541"/>
      <c r="I7" s="541"/>
      <c r="J7" s="560">
        <f t="shared" si="0"/>
        <v>0</v>
      </c>
      <c r="K7" s="561"/>
      <c r="L7" s="561"/>
      <c r="M7" s="561"/>
      <c r="N7" s="562"/>
      <c r="O7" s="563"/>
    </row>
    <row r="8" s="522" customFormat="1" ht="17.1" customHeight="1" spans="2:15">
      <c r="B8" s="536"/>
      <c r="C8" s="537"/>
      <c r="D8" s="538"/>
      <c r="E8" s="539"/>
      <c r="F8" s="540"/>
      <c r="G8" s="540"/>
      <c r="H8" s="541"/>
      <c r="I8" s="541"/>
      <c r="J8" s="560">
        <f t="shared" si="0"/>
        <v>0</v>
      </c>
      <c r="K8" s="561"/>
      <c r="L8" s="561"/>
      <c r="M8" s="561"/>
      <c r="N8" s="562"/>
      <c r="O8" s="563"/>
    </row>
    <row r="9" s="522" customFormat="1" ht="17.1" customHeight="1" spans="2:15">
      <c r="B9" s="536"/>
      <c r="C9" s="537"/>
      <c r="D9" s="538"/>
      <c r="E9" s="539"/>
      <c r="F9" s="540"/>
      <c r="G9" s="540"/>
      <c r="H9" s="541"/>
      <c r="I9" s="541"/>
      <c r="J9" s="560">
        <f t="shared" si="0"/>
        <v>0</v>
      </c>
      <c r="K9" s="561"/>
      <c r="L9" s="561"/>
      <c r="M9" s="561"/>
      <c r="N9" s="562"/>
      <c r="O9" s="563"/>
    </row>
    <row r="10" s="522" customFormat="1" ht="17.1" customHeight="1" spans="2:15">
      <c r="B10" s="536"/>
      <c r="C10" s="537"/>
      <c r="D10" s="538"/>
      <c r="E10" s="539"/>
      <c r="F10" s="540"/>
      <c r="G10" s="540"/>
      <c r="H10" s="541"/>
      <c r="I10" s="541"/>
      <c r="J10" s="560">
        <f t="shared" si="0"/>
        <v>0</v>
      </c>
      <c r="K10" s="561"/>
      <c r="L10" s="561"/>
      <c r="M10" s="561"/>
      <c r="N10" s="562"/>
      <c r="O10" s="563"/>
    </row>
    <row r="11" s="522" customFormat="1" ht="17.1" customHeight="1" spans="2:15">
      <c r="B11" s="536"/>
      <c r="C11" s="537"/>
      <c r="D11" s="538"/>
      <c r="E11" s="539"/>
      <c r="F11" s="540"/>
      <c r="G11" s="540"/>
      <c r="H11" s="541"/>
      <c r="I11" s="541"/>
      <c r="J11" s="560">
        <f t="shared" si="0"/>
        <v>0</v>
      </c>
      <c r="K11" s="561"/>
      <c r="L11" s="561"/>
      <c r="M11" s="561"/>
      <c r="N11" s="562"/>
      <c r="O11" s="563"/>
    </row>
    <row r="12" s="522" customFormat="1" ht="17.1" customHeight="1" spans="2:15">
      <c r="B12" s="536"/>
      <c r="C12" s="537"/>
      <c r="D12" s="538"/>
      <c r="E12" s="539"/>
      <c r="F12" s="540"/>
      <c r="G12" s="540"/>
      <c r="H12" s="541"/>
      <c r="I12" s="541"/>
      <c r="J12" s="560">
        <f t="shared" si="0"/>
        <v>0</v>
      </c>
      <c r="K12" s="561"/>
      <c r="L12" s="561"/>
      <c r="M12" s="561"/>
      <c r="N12" s="562"/>
      <c r="O12" s="563"/>
    </row>
    <row r="13" s="522" customFormat="1" ht="17.1" customHeight="1" spans="2:15">
      <c r="B13" s="536"/>
      <c r="C13" s="537"/>
      <c r="D13" s="538"/>
      <c r="E13" s="539"/>
      <c r="F13" s="540"/>
      <c r="G13" s="540"/>
      <c r="H13" s="541"/>
      <c r="I13" s="541"/>
      <c r="J13" s="560">
        <f t="shared" si="0"/>
        <v>0</v>
      </c>
      <c r="K13" s="561"/>
      <c r="L13" s="561"/>
      <c r="M13" s="561"/>
      <c r="N13" s="562"/>
      <c r="O13" s="563"/>
    </row>
    <row r="14" s="522" customFormat="1" ht="17.1" customHeight="1" spans="2:15">
      <c r="B14" s="536"/>
      <c r="C14" s="537"/>
      <c r="D14" s="538"/>
      <c r="E14" s="539"/>
      <c r="F14" s="540"/>
      <c r="G14" s="540"/>
      <c r="H14" s="541"/>
      <c r="I14" s="541"/>
      <c r="J14" s="560">
        <f t="shared" si="0"/>
        <v>0</v>
      </c>
      <c r="K14" s="561"/>
      <c r="L14" s="561"/>
      <c r="M14" s="561"/>
      <c r="N14" s="562"/>
      <c r="O14" s="563"/>
    </row>
    <row r="15" s="522" customFormat="1" ht="17.1" customHeight="1" spans="2:15">
      <c r="B15" s="542"/>
      <c r="C15" s="543"/>
      <c r="D15" s="544"/>
      <c r="E15" s="545"/>
      <c r="F15" s="546"/>
      <c r="G15" s="546"/>
      <c r="H15" s="547"/>
      <c r="I15" s="547"/>
      <c r="J15" s="564">
        <f t="shared" si="0"/>
        <v>0</v>
      </c>
      <c r="K15" s="565"/>
      <c r="L15" s="565"/>
      <c r="M15" s="565"/>
      <c r="N15" s="566"/>
      <c r="O15" s="567"/>
    </row>
    <row r="16" ht="15.9" customHeight="1" spans="8:10">
      <c r="H16" s="548"/>
      <c r="I16" s="548"/>
      <c r="J16" s="548"/>
    </row>
    <row r="17" ht="21" customHeight="1" spans="2:10">
      <c r="B17" s="549" t="s">
        <v>198</v>
      </c>
      <c r="H17" s="548"/>
      <c r="I17" s="548"/>
      <c r="J17" s="548"/>
    </row>
    <row r="18" spans="2:15">
      <c r="B18" s="550"/>
      <c r="C18" s="551"/>
      <c r="D18" s="551"/>
      <c r="E18" s="551"/>
      <c r="F18" s="551"/>
      <c r="G18" s="551"/>
      <c r="H18" s="551"/>
      <c r="I18" s="551"/>
      <c r="J18" s="551"/>
      <c r="K18" s="551"/>
      <c r="L18" s="551"/>
      <c r="M18" s="551"/>
      <c r="N18" s="551"/>
      <c r="O18" s="568"/>
    </row>
    <row r="19" spans="2:15">
      <c r="B19" s="552"/>
      <c r="H19" s="342"/>
      <c r="I19" s="342"/>
      <c r="J19" s="342"/>
      <c r="O19" s="569"/>
    </row>
    <row r="20" ht="13.75" spans="2:15">
      <c r="B20" s="553"/>
      <c r="C20" s="554"/>
      <c r="D20" s="554"/>
      <c r="E20" s="554"/>
      <c r="F20" s="554"/>
      <c r="G20" s="554"/>
      <c r="H20" s="554"/>
      <c r="I20" s="554"/>
      <c r="J20" s="554"/>
      <c r="K20" s="554"/>
      <c r="L20" s="554"/>
      <c r="M20" s="554"/>
      <c r="N20" s="554"/>
      <c r="O20" s="570"/>
    </row>
    <row r="21" spans="8:10">
      <c r="H21" s="548"/>
      <c r="I21" s="548"/>
      <c r="J21" s="548"/>
    </row>
    <row r="22" spans="8:10">
      <c r="H22" s="548"/>
      <c r="I22" s="548"/>
      <c r="J22" s="548"/>
    </row>
    <row r="23" spans="2:10">
      <c r="B23" s="555" t="s">
        <v>172</v>
      </c>
      <c r="C23" s="555"/>
      <c r="H23" s="548"/>
      <c r="I23" s="548"/>
      <c r="J23" s="548"/>
    </row>
    <row r="24" ht="19.5" customHeight="1" spans="2:15">
      <c r="B24" s="556" t="s">
        <v>357</v>
      </c>
      <c r="C24" s="556"/>
      <c r="D24" s="556"/>
      <c r="E24" s="556"/>
      <c r="F24" s="556"/>
      <c r="G24" s="556"/>
      <c r="H24" s="556"/>
      <c r="I24" s="556"/>
      <c r="J24" s="556"/>
      <c r="K24" s="556"/>
      <c r="L24" s="556"/>
      <c r="M24" s="556"/>
      <c r="N24" s="556"/>
      <c r="O24" s="556"/>
    </row>
    <row r="25" ht="21.75" customHeight="1" spans="2:15">
      <c r="B25" s="556"/>
      <c r="C25" s="556"/>
      <c r="D25" s="556"/>
      <c r="E25" s="556"/>
      <c r="F25" s="556"/>
      <c r="G25" s="556"/>
      <c r="H25" s="556"/>
      <c r="I25" s="556"/>
      <c r="J25" s="556"/>
      <c r="K25" s="556"/>
      <c r="L25" s="556"/>
      <c r="M25" s="556"/>
      <c r="N25" s="556"/>
      <c r="O25" s="556"/>
    </row>
  </sheetData>
  <autoFilter xmlns:etc="http://www.wps.cn/officeDocument/2017/etCustomData" ref="A4:P15" etc:filterBottomFollowUsedRange="0">
    <extLst/>
  </autoFilter>
  <mergeCells count="1">
    <mergeCell ref="B24:O25"/>
  </mergeCells>
  <dataValidations count="1">
    <dataValidation type="list" allowBlank="1" showInputMessage="1" showErrorMessage="1" sqref="K5:M15">
      <formula1>"是,否"</formula1>
    </dataValidation>
  </dataValidations>
  <hyperlinks>
    <hyperlink ref="A1" location="'目录'!C12" display="&lt;&lt;"/>
  </hyperlinks>
  <printOptions horizontalCentered="1"/>
  <pageMargins left="0.196850393700787" right="0.196850393700787" top="0.984251968503937" bottom="0.984251968503937" header="0.511811023622047" footer="0.511811023622047"/>
  <pageSetup paperSize="9" scale="85" orientation="landscape" blackAndWhite="1"/>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H41"/>
  <sheetViews>
    <sheetView showGridLines="0" tabSelected="1" workbookViewId="0">
      <pane ySplit="12" topLeftCell="A13" activePane="bottomLeft" state="frozen"/>
      <selection/>
      <selection pane="bottomLeft" activeCell="C14" sqref="C14"/>
    </sheetView>
  </sheetViews>
  <sheetFormatPr defaultColWidth="9" defaultRowHeight="15" outlineLevelCol="7"/>
  <cols>
    <col min="1" max="1" width="2.6" style="474" customWidth="1"/>
    <col min="2" max="3" width="14" style="474" customWidth="1"/>
    <col min="4" max="4" width="11" style="474" customWidth="1"/>
    <col min="5" max="5" width="20.9" style="474" customWidth="1"/>
    <col min="6" max="6" width="17.4" style="474" customWidth="1"/>
    <col min="7" max="7" width="14.1" style="475" customWidth="1"/>
    <col min="8" max="8" width="14" style="474" customWidth="1"/>
    <col min="9" max="16384" width="9" style="474"/>
  </cols>
  <sheetData>
    <row r="1" s="471" customFormat="1" ht="28.5" customHeight="1" spans="1:8">
      <c r="A1" s="65" t="s">
        <v>58</v>
      </c>
      <c r="B1" s="423" t="s">
        <v>42</v>
      </c>
      <c r="C1" s="424"/>
      <c r="D1" s="424"/>
      <c r="E1" s="424"/>
      <c r="F1" s="424"/>
      <c r="G1" s="460" t="s">
        <v>59</v>
      </c>
      <c r="H1" s="126" t="str">
        <f>目录!E13</f>
        <v>1010-7</v>
      </c>
    </row>
    <row r="2" s="471" customFormat="1" ht="26.1" customHeight="1" spans="2:8">
      <c r="B2" s="472" t="s">
        <v>358</v>
      </c>
      <c r="C2" s="93"/>
      <c r="E2" s="460"/>
      <c r="F2" s="476"/>
      <c r="G2" s="252"/>
      <c r="H2" s="477"/>
    </row>
    <row r="3" s="472" customFormat="1" ht="12" customHeight="1" spans="7:7">
      <c r="G3" s="478"/>
    </row>
    <row r="4" ht="16.5" customHeight="1" spans="2:8">
      <c r="B4" s="479" t="s">
        <v>359</v>
      </c>
      <c r="C4" s="480"/>
      <c r="D4" s="481" t="s">
        <v>360</v>
      </c>
      <c r="E4" s="482"/>
      <c r="F4" s="482"/>
      <c r="G4" s="482"/>
      <c r="H4" s="483"/>
    </row>
    <row r="5" ht="16.5" customHeight="1" spans="2:8">
      <c r="B5" s="484"/>
      <c r="C5" s="485"/>
      <c r="D5" s="486"/>
      <c r="E5" s="486"/>
      <c r="F5" s="486"/>
      <c r="G5" s="486"/>
      <c r="H5" s="486"/>
    </row>
    <row r="6" ht="45.9" customHeight="1" spans="2:8">
      <c r="B6" s="479" t="s">
        <v>361</v>
      </c>
      <c r="C6" s="480"/>
      <c r="D6" s="487" t="s">
        <v>362</v>
      </c>
      <c r="E6" s="488"/>
      <c r="F6" s="488"/>
      <c r="G6" s="488"/>
      <c r="H6" s="489"/>
    </row>
    <row r="7" ht="16.5" customHeight="1" spans="2:8">
      <c r="B7" s="490"/>
      <c r="C7" s="491"/>
      <c r="D7" s="492"/>
      <c r="E7" s="492"/>
      <c r="F7" s="492"/>
      <c r="G7" s="492"/>
      <c r="H7" s="492"/>
    </row>
    <row r="8" ht="16.5" customHeight="1" spans="2:8">
      <c r="B8" s="479" t="s">
        <v>363</v>
      </c>
      <c r="C8" s="480"/>
      <c r="D8" s="487" t="s">
        <v>364</v>
      </c>
      <c r="E8" s="488"/>
      <c r="F8" s="488"/>
      <c r="G8" s="488"/>
      <c r="H8" s="489"/>
    </row>
    <row r="9" ht="9.75" customHeight="1" spans="7:7">
      <c r="G9" s="493"/>
    </row>
    <row r="10" ht="9.75" customHeight="1" spans="7:7">
      <c r="G10" s="493"/>
    </row>
    <row r="11" s="473" customFormat="1" ht="15.5" spans="2:8">
      <c r="B11" s="494" t="s">
        <v>223</v>
      </c>
      <c r="C11" s="256" t="s">
        <v>365</v>
      </c>
      <c r="D11" s="256" t="s">
        <v>366</v>
      </c>
      <c r="E11" s="256" t="s">
        <v>367</v>
      </c>
      <c r="F11" s="256" t="s">
        <v>368</v>
      </c>
      <c r="G11" s="256" t="s">
        <v>289</v>
      </c>
      <c r="H11" s="495" t="s">
        <v>369</v>
      </c>
    </row>
    <row r="12" s="473" customFormat="1" ht="15.5" spans="2:8">
      <c r="B12" s="496"/>
      <c r="C12" s="497"/>
      <c r="D12" s="497"/>
      <c r="E12" s="497"/>
      <c r="F12" s="497"/>
      <c r="G12" s="497"/>
      <c r="H12" s="498" t="s">
        <v>370</v>
      </c>
    </row>
    <row r="13" s="473" customFormat="1" ht="26" spans="2:8">
      <c r="B13" s="499" t="s">
        <v>371</v>
      </c>
      <c r="C13" s="500" t="s">
        <v>372</v>
      </c>
      <c r="D13" s="501" t="s">
        <v>373</v>
      </c>
      <c r="E13" s="502" t="s">
        <v>374</v>
      </c>
      <c r="F13" s="501" t="s">
        <v>375</v>
      </c>
      <c r="G13" s="311">
        <v>6270.42</v>
      </c>
      <c r="H13" s="503" t="s">
        <v>234</v>
      </c>
    </row>
    <row r="14" s="473" customFormat="1" spans="2:8">
      <c r="B14" s="499"/>
      <c r="C14" s="500"/>
      <c r="D14" s="501"/>
      <c r="E14" s="504"/>
      <c r="F14" s="501"/>
      <c r="G14" s="311"/>
      <c r="H14" s="503"/>
    </row>
    <row r="15" s="473" customFormat="1" spans="2:8">
      <c r="B15" s="499"/>
      <c r="C15" s="500"/>
      <c r="D15" s="501"/>
      <c r="E15" s="504"/>
      <c r="F15" s="501"/>
      <c r="G15" s="311"/>
      <c r="H15" s="503"/>
    </row>
    <row r="16" s="473" customFormat="1" ht="15.5" spans="2:8">
      <c r="B16" s="505"/>
      <c r="C16" s="500"/>
      <c r="D16" s="501"/>
      <c r="E16" s="504"/>
      <c r="F16" s="501"/>
      <c r="G16" s="311"/>
      <c r="H16" s="503"/>
    </row>
    <row r="17" s="473" customFormat="1" ht="15.5" spans="2:8">
      <c r="B17" s="505"/>
      <c r="C17" s="500"/>
      <c r="D17" s="501"/>
      <c r="E17" s="504"/>
      <c r="F17" s="501"/>
      <c r="G17" s="311"/>
      <c r="H17" s="503"/>
    </row>
    <row r="18" s="473" customFormat="1" ht="15.5" spans="2:8">
      <c r="B18" s="505"/>
      <c r="C18" s="500"/>
      <c r="D18" s="501"/>
      <c r="E18" s="504"/>
      <c r="F18" s="501"/>
      <c r="G18" s="311"/>
      <c r="H18" s="503"/>
    </row>
    <row r="19" s="473" customFormat="1" ht="15.5" spans="2:8">
      <c r="B19" s="505"/>
      <c r="C19" s="500"/>
      <c r="D19" s="501"/>
      <c r="E19" s="504"/>
      <c r="F19" s="501"/>
      <c r="G19" s="311"/>
      <c r="H19" s="503"/>
    </row>
    <row r="20" s="473" customFormat="1" ht="15.5" spans="2:8">
      <c r="B20" s="505"/>
      <c r="C20" s="500"/>
      <c r="D20" s="501"/>
      <c r="E20" s="504"/>
      <c r="F20" s="501"/>
      <c r="G20" s="311"/>
      <c r="H20" s="503"/>
    </row>
    <row r="21" s="473" customFormat="1" ht="15.5" spans="2:8">
      <c r="B21" s="505"/>
      <c r="C21" s="500"/>
      <c r="D21" s="501"/>
      <c r="E21" s="504"/>
      <c r="F21" s="501"/>
      <c r="G21" s="311"/>
      <c r="H21" s="503"/>
    </row>
    <row r="22" s="473" customFormat="1" ht="15.5" spans="2:8">
      <c r="B22" s="505"/>
      <c r="C22" s="500"/>
      <c r="D22" s="501"/>
      <c r="E22" s="504"/>
      <c r="F22" s="501"/>
      <c r="G22" s="311"/>
      <c r="H22" s="503"/>
    </row>
    <row r="23" s="473" customFormat="1" ht="15.5" spans="2:8">
      <c r="B23" s="505"/>
      <c r="C23" s="500"/>
      <c r="D23" s="501"/>
      <c r="E23" s="504"/>
      <c r="F23" s="501"/>
      <c r="G23" s="311"/>
      <c r="H23" s="503"/>
    </row>
    <row r="24" s="473" customFormat="1" ht="15.5" spans="2:8">
      <c r="B24" s="506" t="s">
        <v>376</v>
      </c>
      <c r="C24" s="507"/>
      <c r="D24" s="508"/>
      <c r="E24" s="508"/>
      <c r="F24" s="508"/>
      <c r="G24" s="508"/>
      <c r="H24" s="509"/>
    </row>
    <row r="25" s="473" customFormat="1" ht="15.5" spans="2:8">
      <c r="B25" s="510" t="s">
        <v>377</v>
      </c>
      <c r="C25" s="511"/>
      <c r="D25" s="508"/>
      <c r="E25" s="508"/>
      <c r="F25" s="508"/>
      <c r="G25" s="508"/>
      <c r="H25" s="509"/>
    </row>
    <row r="26" s="473" customFormat="1" ht="15.5" spans="2:8">
      <c r="B26" s="506" t="s">
        <v>378</v>
      </c>
      <c r="C26" s="507"/>
      <c r="D26" s="508"/>
      <c r="E26" s="508"/>
      <c r="F26" s="508"/>
      <c r="G26" s="508"/>
      <c r="H26" s="509"/>
    </row>
    <row r="27" s="473" customFormat="1" ht="15.5" spans="2:8">
      <c r="B27" s="510" t="s">
        <v>379</v>
      </c>
      <c r="C27" s="511"/>
      <c r="D27" s="508"/>
      <c r="E27" s="508"/>
      <c r="F27" s="508"/>
      <c r="G27" s="508"/>
      <c r="H27" s="509"/>
    </row>
    <row r="28" s="473" customFormat="1" ht="15.5" spans="2:8">
      <c r="B28" s="506" t="s">
        <v>380</v>
      </c>
      <c r="C28" s="507"/>
      <c r="D28" s="508"/>
      <c r="E28" s="508"/>
      <c r="F28" s="508"/>
      <c r="G28" s="508"/>
      <c r="H28" s="509"/>
    </row>
    <row r="29" s="473" customFormat="1" ht="15.5" spans="2:8">
      <c r="B29" s="505"/>
      <c r="C29" s="512"/>
      <c r="D29" s="508"/>
      <c r="E29" s="513"/>
      <c r="F29" s="508"/>
      <c r="G29" s="311"/>
      <c r="H29" s="503"/>
    </row>
    <row r="30" s="473" customFormat="1" ht="15.5" spans="2:8">
      <c r="B30" s="505"/>
      <c r="C30" s="512"/>
      <c r="D30" s="508"/>
      <c r="E30" s="513"/>
      <c r="F30" s="508"/>
      <c r="G30" s="311"/>
      <c r="H30" s="503"/>
    </row>
    <row r="31" s="473" customFormat="1" ht="15.5" spans="2:8">
      <c r="B31" s="505"/>
      <c r="C31" s="512"/>
      <c r="D31" s="508"/>
      <c r="E31" s="513"/>
      <c r="F31" s="508"/>
      <c r="G31" s="311"/>
      <c r="H31" s="503"/>
    </row>
    <row r="32" s="473" customFormat="1" ht="15.5" spans="2:8">
      <c r="B32" s="505"/>
      <c r="C32" s="512"/>
      <c r="D32" s="508"/>
      <c r="E32" s="513"/>
      <c r="F32" s="508"/>
      <c r="G32" s="311"/>
      <c r="H32" s="503"/>
    </row>
    <row r="33" s="473" customFormat="1" ht="15.5" spans="2:8">
      <c r="B33" s="505"/>
      <c r="C33" s="512"/>
      <c r="D33" s="508"/>
      <c r="E33" s="513"/>
      <c r="F33" s="508"/>
      <c r="G33" s="311"/>
      <c r="H33" s="503"/>
    </row>
    <row r="34" s="473" customFormat="1" ht="15.5" spans="2:8">
      <c r="B34" s="505"/>
      <c r="C34" s="512"/>
      <c r="D34" s="508"/>
      <c r="E34" s="513"/>
      <c r="F34" s="508"/>
      <c r="G34" s="311"/>
      <c r="H34" s="503"/>
    </row>
    <row r="35" s="473" customFormat="1" ht="15.5" spans="2:8">
      <c r="B35" s="505"/>
      <c r="C35" s="512"/>
      <c r="D35" s="508"/>
      <c r="E35" s="513"/>
      <c r="F35" s="508"/>
      <c r="G35" s="311"/>
      <c r="H35" s="503"/>
    </row>
    <row r="36" s="473" customFormat="1" ht="15.5" spans="2:8">
      <c r="B36" s="505"/>
      <c r="C36" s="512"/>
      <c r="D36" s="508"/>
      <c r="E36" s="513"/>
      <c r="F36" s="508"/>
      <c r="G36" s="311"/>
      <c r="H36" s="503"/>
    </row>
    <row r="37" s="473" customFormat="1" ht="15.5" spans="2:8">
      <c r="B37" s="505"/>
      <c r="C37" s="512"/>
      <c r="D37" s="508"/>
      <c r="E37" s="513"/>
      <c r="F37" s="508"/>
      <c r="G37" s="311"/>
      <c r="H37" s="503"/>
    </row>
    <row r="38" s="473" customFormat="1" ht="15.5" spans="2:8">
      <c r="B38" s="505"/>
      <c r="C38" s="512"/>
      <c r="D38" s="501"/>
      <c r="E38" s="504"/>
      <c r="F38" s="501"/>
      <c r="G38" s="311"/>
      <c r="H38" s="503"/>
    </row>
    <row r="39" s="473" customFormat="1" ht="15.5" spans="2:8">
      <c r="B39" s="505"/>
      <c r="C39" s="512"/>
      <c r="D39" s="501"/>
      <c r="E39" s="504"/>
      <c r="F39" s="501"/>
      <c r="G39" s="311"/>
      <c r="H39" s="503"/>
    </row>
    <row r="40" s="473" customFormat="1" ht="16.25" spans="2:8">
      <c r="B40" s="514"/>
      <c r="C40" s="515"/>
      <c r="D40" s="516"/>
      <c r="E40" s="517"/>
      <c r="F40" s="518"/>
      <c r="G40" s="519"/>
      <c r="H40" s="520"/>
    </row>
    <row r="41" s="473" customFormat="1" ht="15.5" spans="2:7">
      <c r="B41" s="521"/>
      <c r="C41" s="521"/>
      <c r="G41" s="493"/>
    </row>
  </sheetData>
  <autoFilter xmlns:etc="http://www.wps.cn/officeDocument/2017/etCustomData" ref="A12:H15" etc:filterBottomFollowUsedRange="0">
    <extLst/>
  </autoFilter>
  <mergeCells count="14">
    <mergeCell ref="D4:H4"/>
    <mergeCell ref="D6:H6"/>
    <mergeCell ref="D8:H8"/>
    <mergeCell ref="B24:H24"/>
    <mergeCell ref="B25:H25"/>
    <mergeCell ref="B26:H26"/>
    <mergeCell ref="B27:H27"/>
    <mergeCell ref="B28:H28"/>
    <mergeCell ref="B11:B12"/>
    <mergeCell ref="C11:C12"/>
    <mergeCell ref="D11:D12"/>
    <mergeCell ref="E11:E12"/>
    <mergeCell ref="F11:F12"/>
    <mergeCell ref="G11:G12"/>
  </mergeCells>
  <dataValidations count="1">
    <dataValidation type="list" allowBlank="1" showInputMessage="1" showErrorMessage="1" sqref="H13:H23 H29:H40">
      <formula1>"√,×"</formula1>
    </dataValidation>
  </dataValidations>
  <hyperlinks>
    <hyperlink ref="A1" location="'目录'!C13" display="&lt;&lt;"/>
  </hyperlinks>
  <printOptions horizontalCentered="1"/>
  <pageMargins left="0.590551181102362" right="0.196850393700787" top="0.984251968503937" bottom="0.984251968503937" header="0.511811023622047" footer="0.511811023622047"/>
  <pageSetup paperSize="9" scale="80" orientation="portrait" blackAndWhite="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M28"/>
  <sheetViews>
    <sheetView showGridLines="0" workbookViewId="0">
      <pane ySplit="4" topLeftCell="A5" activePane="bottomLeft" state="frozen"/>
      <selection/>
      <selection pane="bottomLeft" activeCell="B26" sqref="B26"/>
    </sheetView>
  </sheetViews>
  <sheetFormatPr defaultColWidth="9" defaultRowHeight="15"/>
  <cols>
    <col min="1" max="1" width="2.6" customWidth="1"/>
    <col min="3" max="3" width="11" customWidth="1"/>
    <col min="4" max="4" width="21.9" style="422" customWidth="1"/>
    <col min="5" max="5" width="16.1" customWidth="1"/>
    <col min="7" max="12" width="11.4" customWidth="1"/>
    <col min="13" max="13" width="15.4" style="422" customWidth="1"/>
  </cols>
  <sheetData>
    <row r="1" s="421" customFormat="1" ht="28.5" customHeight="1" spans="1:13">
      <c r="A1" s="65" t="s">
        <v>58</v>
      </c>
      <c r="B1" s="423" t="s">
        <v>44</v>
      </c>
      <c r="C1" s="424"/>
      <c r="D1" s="425"/>
      <c r="L1" s="460" t="s">
        <v>59</v>
      </c>
      <c r="M1" s="461" t="str">
        <f>目录!E14</f>
        <v>1010-8</v>
      </c>
    </row>
    <row r="2" s="421" customFormat="1" ht="26.1" customHeight="1" spans="2:13">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425"/>
      <c r="M2" s="425"/>
    </row>
    <row r="3" s="421" customFormat="1" ht="12" customHeight="1" spans="4:13">
      <c r="D3" s="425"/>
      <c r="M3" s="425"/>
    </row>
    <row r="4" s="422" customFormat="1" ht="33" customHeight="1" spans="2:13">
      <c r="B4" s="426" t="s">
        <v>79</v>
      </c>
      <c r="C4" s="427" t="s">
        <v>223</v>
      </c>
      <c r="D4" s="428" t="s">
        <v>381</v>
      </c>
      <c r="E4" s="428" t="s">
        <v>326</v>
      </c>
      <c r="F4" s="428" t="s">
        <v>224</v>
      </c>
      <c r="G4" s="429" t="s">
        <v>382</v>
      </c>
      <c r="H4" s="430" t="s">
        <v>383</v>
      </c>
      <c r="I4" s="428" t="s">
        <v>384</v>
      </c>
      <c r="J4" s="428" t="s">
        <v>385</v>
      </c>
      <c r="K4" s="428" t="s">
        <v>386</v>
      </c>
      <c r="L4" s="462" t="s">
        <v>387</v>
      </c>
      <c r="M4" s="463" t="s">
        <v>388</v>
      </c>
    </row>
    <row r="5" ht="17.1" customHeight="1" spans="2:13">
      <c r="B5" s="431" t="s">
        <v>389</v>
      </c>
      <c r="C5" s="432"/>
      <c r="D5" s="433"/>
      <c r="E5" s="434"/>
      <c r="F5" s="435"/>
      <c r="G5" s="436">
        <f t="shared" ref="G5:L5" si="0">SUM(G6:G15)</f>
        <v>215947.63</v>
      </c>
      <c r="H5" s="436">
        <f t="shared" si="0"/>
        <v>0</v>
      </c>
      <c r="I5" s="436">
        <f t="shared" si="0"/>
        <v>0</v>
      </c>
      <c r="J5" s="436">
        <f t="shared" si="0"/>
        <v>0</v>
      </c>
      <c r="K5" s="436">
        <f t="shared" si="0"/>
        <v>0</v>
      </c>
      <c r="L5" s="436">
        <f t="shared" si="0"/>
        <v>215947.63</v>
      </c>
      <c r="M5" s="464"/>
    </row>
    <row r="6" ht="17.1" customHeight="1" spans="2:13">
      <c r="B6" s="437">
        <v>1</v>
      </c>
      <c r="C6" s="438" t="s">
        <v>11</v>
      </c>
      <c r="D6" s="439" t="s">
        <v>251</v>
      </c>
      <c r="E6" s="985" t="s">
        <v>252</v>
      </c>
      <c r="F6" s="440" t="s">
        <v>253</v>
      </c>
      <c r="G6" s="441">
        <v>45883.78</v>
      </c>
      <c r="H6" s="442"/>
      <c r="I6" s="442"/>
      <c r="J6" s="442"/>
      <c r="K6" s="442"/>
      <c r="L6" s="411">
        <f t="shared" ref="L6:L15" si="1">G6+H6-I6+J6-K6</f>
        <v>45883.78</v>
      </c>
      <c r="M6" s="465"/>
    </row>
    <row r="7" ht="17.1" customHeight="1" spans="2:13">
      <c r="B7" s="437">
        <v>2</v>
      </c>
      <c r="C7" s="438" t="s">
        <v>11</v>
      </c>
      <c r="D7" s="439" t="s">
        <v>255</v>
      </c>
      <c r="E7" s="439" t="s">
        <v>256</v>
      </c>
      <c r="F7" s="440" t="s">
        <v>253</v>
      </c>
      <c r="G7" s="441">
        <v>170063.85</v>
      </c>
      <c r="H7" s="442"/>
      <c r="I7" s="442"/>
      <c r="J7" s="442"/>
      <c r="K7" s="442"/>
      <c r="L7" s="411">
        <f t="shared" si="1"/>
        <v>170063.85</v>
      </c>
      <c r="M7" s="465"/>
    </row>
    <row r="8" ht="17.1" customHeight="1" spans="2:13">
      <c r="B8" s="437">
        <v>3</v>
      </c>
      <c r="C8" s="438"/>
      <c r="D8" s="439"/>
      <c r="E8" s="439"/>
      <c r="F8" s="440"/>
      <c r="G8" s="441"/>
      <c r="H8" s="442"/>
      <c r="I8" s="442"/>
      <c r="J8" s="442"/>
      <c r="K8" s="442"/>
      <c r="L8" s="411">
        <f t="shared" si="1"/>
        <v>0</v>
      </c>
      <c r="M8" s="465"/>
    </row>
    <row r="9" ht="17.1" customHeight="1" spans="2:13">
      <c r="B9" s="437">
        <v>4</v>
      </c>
      <c r="C9" s="438"/>
      <c r="D9" s="439"/>
      <c r="E9" s="439"/>
      <c r="F9" s="440"/>
      <c r="G9" s="441"/>
      <c r="H9" s="442"/>
      <c r="I9" s="442"/>
      <c r="J9" s="442"/>
      <c r="K9" s="442"/>
      <c r="L9" s="411">
        <f t="shared" si="1"/>
        <v>0</v>
      </c>
      <c r="M9" s="465"/>
    </row>
    <row r="10" ht="17.1" customHeight="1" spans="2:13">
      <c r="B10" s="437">
        <v>5</v>
      </c>
      <c r="C10" s="438"/>
      <c r="D10" s="439"/>
      <c r="E10" s="439"/>
      <c r="F10" s="440"/>
      <c r="G10" s="441"/>
      <c r="H10" s="442"/>
      <c r="I10" s="442"/>
      <c r="J10" s="442"/>
      <c r="K10" s="442"/>
      <c r="L10" s="411">
        <f t="shared" si="1"/>
        <v>0</v>
      </c>
      <c r="M10" s="465"/>
    </row>
    <row r="11" ht="17.1" customHeight="1" spans="2:13">
      <c r="B11" s="437">
        <v>6</v>
      </c>
      <c r="C11" s="438"/>
      <c r="D11" s="439"/>
      <c r="E11" s="439"/>
      <c r="F11" s="440"/>
      <c r="G11" s="441"/>
      <c r="H11" s="442"/>
      <c r="I11" s="442"/>
      <c r="J11" s="442"/>
      <c r="K11" s="442"/>
      <c r="L11" s="411">
        <f t="shared" si="1"/>
        <v>0</v>
      </c>
      <c r="M11" s="465"/>
    </row>
    <row r="12" ht="17.1" customHeight="1" spans="2:13">
      <c r="B12" s="437">
        <v>7</v>
      </c>
      <c r="C12" s="438"/>
      <c r="D12" s="439"/>
      <c r="E12" s="439"/>
      <c r="F12" s="440"/>
      <c r="G12" s="441"/>
      <c r="H12" s="442"/>
      <c r="I12" s="442"/>
      <c r="J12" s="442"/>
      <c r="K12" s="442"/>
      <c r="L12" s="411">
        <f t="shared" si="1"/>
        <v>0</v>
      </c>
      <c r="M12" s="465"/>
    </row>
    <row r="13" ht="17.1" customHeight="1" spans="2:13">
      <c r="B13" s="437">
        <v>8</v>
      </c>
      <c r="C13" s="438"/>
      <c r="D13" s="439"/>
      <c r="E13" s="439"/>
      <c r="F13" s="440"/>
      <c r="G13" s="441"/>
      <c r="H13" s="442"/>
      <c r="I13" s="442"/>
      <c r="J13" s="442"/>
      <c r="K13" s="442"/>
      <c r="L13" s="411">
        <f t="shared" si="1"/>
        <v>0</v>
      </c>
      <c r="M13" s="465"/>
    </row>
    <row r="14" ht="17.1" customHeight="1" spans="2:13">
      <c r="B14" s="437">
        <v>9</v>
      </c>
      <c r="C14" s="438"/>
      <c r="D14" s="439"/>
      <c r="E14" s="439"/>
      <c r="F14" s="440"/>
      <c r="G14" s="441"/>
      <c r="H14" s="442"/>
      <c r="I14" s="442"/>
      <c r="J14" s="442"/>
      <c r="K14" s="442"/>
      <c r="L14" s="411">
        <f t="shared" si="1"/>
        <v>0</v>
      </c>
      <c r="M14" s="465"/>
    </row>
    <row r="15" ht="17.1" customHeight="1" spans="2:13">
      <c r="B15" s="437">
        <v>10</v>
      </c>
      <c r="C15" s="438"/>
      <c r="D15" s="439"/>
      <c r="E15" s="439"/>
      <c r="F15" s="440"/>
      <c r="G15" s="441"/>
      <c r="H15" s="442"/>
      <c r="I15" s="442"/>
      <c r="J15" s="442"/>
      <c r="K15" s="442"/>
      <c r="L15" s="411">
        <f t="shared" si="1"/>
        <v>0</v>
      </c>
      <c r="M15" s="465"/>
    </row>
    <row r="16" ht="17.1" customHeight="1" spans="2:13">
      <c r="B16" s="431" t="s">
        <v>390</v>
      </c>
      <c r="C16" s="432"/>
      <c r="D16" s="443"/>
      <c r="E16" s="444"/>
      <c r="F16" s="435"/>
      <c r="G16" s="436">
        <f t="shared" ref="G16:L16" si="2">SUM(G17:G21)</f>
        <v>2390600.12</v>
      </c>
      <c r="H16" s="436">
        <f t="shared" si="2"/>
        <v>0</v>
      </c>
      <c r="I16" s="436">
        <f t="shared" si="2"/>
        <v>0</v>
      </c>
      <c r="J16" s="436">
        <f t="shared" si="2"/>
        <v>0</v>
      </c>
      <c r="K16" s="436">
        <f t="shared" si="2"/>
        <v>0</v>
      </c>
      <c r="L16" s="436">
        <f t="shared" si="2"/>
        <v>2390600.12</v>
      </c>
      <c r="M16" s="464"/>
    </row>
    <row r="17" ht="17.1" customHeight="1" spans="2:13">
      <c r="B17" s="437">
        <v>1</v>
      </c>
      <c r="C17" s="438" t="s">
        <v>261</v>
      </c>
      <c r="D17" s="439" t="s">
        <v>262</v>
      </c>
      <c r="E17" s="439" t="s">
        <v>263</v>
      </c>
      <c r="F17" s="440" t="s">
        <v>253</v>
      </c>
      <c r="G17" s="445">
        <v>1382299.68</v>
      </c>
      <c r="H17" s="442"/>
      <c r="I17" s="442"/>
      <c r="J17" s="442"/>
      <c r="K17" s="442"/>
      <c r="L17" s="411">
        <f t="shared" ref="L17:L21" si="3">G17+H17-I17+J17-K17</f>
        <v>1382299.68</v>
      </c>
      <c r="M17" s="465"/>
    </row>
    <row r="18" ht="17.1" customHeight="1" spans="2:13">
      <c r="B18" s="437">
        <v>2</v>
      </c>
      <c r="C18" s="438" t="s">
        <v>261</v>
      </c>
      <c r="D18" s="439" t="s">
        <v>265</v>
      </c>
      <c r="E18" s="439" t="s">
        <v>266</v>
      </c>
      <c r="F18" s="440" t="s">
        <v>253</v>
      </c>
      <c r="G18" s="445">
        <v>1008300.44</v>
      </c>
      <c r="H18" s="442"/>
      <c r="I18" s="442"/>
      <c r="J18" s="442"/>
      <c r="K18" s="442"/>
      <c r="L18" s="411">
        <f t="shared" si="3"/>
        <v>1008300.44</v>
      </c>
      <c r="M18" s="465"/>
    </row>
    <row r="19" ht="17.1" customHeight="1" spans="2:13">
      <c r="B19" s="437">
        <v>3</v>
      </c>
      <c r="C19" s="438"/>
      <c r="D19" s="439"/>
      <c r="E19" s="439"/>
      <c r="F19" s="440"/>
      <c r="G19" s="445"/>
      <c r="H19" s="442"/>
      <c r="I19" s="442"/>
      <c r="J19" s="442"/>
      <c r="K19" s="442"/>
      <c r="L19" s="411">
        <f t="shared" si="3"/>
        <v>0</v>
      </c>
      <c r="M19" s="465"/>
    </row>
    <row r="20" ht="17.1" customHeight="1" spans="2:13">
      <c r="B20" s="437">
        <v>4</v>
      </c>
      <c r="C20" s="438"/>
      <c r="D20" s="439"/>
      <c r="E20" s="439"/>
      <c r="F20" s="440"/>
      <c r="G20" s="445"/>
      <c r="H20" s="442"/>
      <c r="I20" s="442"/>
      <c r="J20" s="442"/>
      <c r="K20" s="442"/>
      <c r="L20" s="411">
        <f t="shared" si="3"/>
        <v>0</v>
      </c>
      <c r="M20" s="465"/>
    </row>
    <row r="21" ht="17.1" customHeight="1" spans="2:13">
      <c r="B21" s="446">
        <v>5</v>
      </c>
      <c r="C21" s="447"/>
      <c r="D21" s="448"/>
      <c r="E21" s="448"/>
      <c r="F21" s="449"/>
      <c r="G21" s="450"/>
      <c r="H21" s="451"/>
      <c r="I21" s="451"/>
      <c r="J21" s="451"/>
      <c r="K21" s="451"/>
      <c r="L21" s="466">
        <f t="shared" si="3"/>
        <v>0</v>
      </c>
      <c r="M21" s="467"/>
    </row>
    <row r="24" ht="18.75" customHeight="1" spans="2:3">
      <c r="B24" s="452" t="s">
        <v>391</v>
      </c>
      <c r="C24" s="422"/>
    </row>
    <row r="25" spans="2:13">
      <c r="B25" s="453" t="s">
        <v>392</v>
      </c>
      <c r="C25" s="454"/>
      <c r="D25" s="455"/>
      <c r="E25" s="454"/>
      <c r="F25" s="454"/>
      <c r="G25" s="454"/>
      <c r="H25" s="454"/>
      <c r="I25" s="454"/>
      <c r="J25" s="454"/>
      <c r="K25" s="454"/>
      <c r="L25" s="454"/>
      <c r="M25" s="468"/>
    </row>
    <row r="26" spans="2:13">
      <c r="B26" s="456"/>
      <c r="M26" s="469"/>
    </row>
    <row r="27" spans="2:13">
      <c r="B27" s="456"/>
      <c r="M27" s="469"/>
    </row>
    <row r="28" ht="15.75" spans="2:13">
      <c r="B28" s="457"/>
      <c r="C28" s="458"/>
      <c r="D28" s="459"/>
      <c r="E28" s="458"/>
      <c r="F28" s="458"/>
      <c r="G28" s="458"/>
      <c r="H28" s="458"/>
      <c r="I28" s="458"/>
      <c r="J28" s="458"/>
      <c r="K28" s="458"/>
      <c r="L28" s="458"/>
      <c r="M28" s="470"/>
    </row>
  </sheetData>
  <autoFilter xmlns:etc="http://www.wps.cn/officeDocument/2017/etCustomData" ref="A4:M21" etc:filterBottomFollowUsedRange="0">
    <extLst/>
  </autoFilter>
  <dataValidations count="1">
    <dataValidation type="list" allowBlank="1" showInputMessage="1" showErrorMessage="1" sqref="F6:F15 F17:F21">
      <formula1>"人民币,美元,港元,日元,欧元,英镑,瑞士法郎,加拿大元,澳大利亚元,新加坡元,丹麦克朗,挪威克朗,瑞典克朗,澳门元,新西兰元,韩元,其他"</formula1>
    </dataValidation>
  </dataValidations>
  <hyperlinks>
    <hyperlink ref="A1" location="'目录'!C14" display="&lt;&lt;"/>
  </hyperlinks>
  <pageMargins left="0.75" right="0.75" top="1" bottom="1" header="0.5" footer="0.5"/>
  <pageSetup paperSize="9" scale="81" orientation="landscape" blackAndWhite="1"/>
  <headerFooter/>
  <ignoredErrors>
    <ignoredError sqref="L16" formula="1"/>
  </ignoredError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U55"/>
  <sheetViews>
    <sheetView showGridLines="0" zoomScale="85" zoomScaleNormal="85" workbookViewId="0">
      <pane ySplit="4" topLeftCell="A17" activePane="bottomLeft" state="frozen"/>
      <selection/>
      <selection pane="bottomLeft" activeCell="B1" sqref="B1"/>
    </sheetView>
  </sheetViews>
  <sheetFormatPr defaultColWidth="9" defaultRowHeight="15.5"/>
  <cols>
    <col min="1" max="1" width="2.6" style="357" customWidth="1"/>
    <col min="2" max="2" width="17" style="357" customWidth="1"/>
    <col min="3" max="3" width="12.1" style="357" customWidth="1"/>
    <col min="4" max="4" width="11.9" style="357" customWidth="1"/>
    <col min="5" max="5" width="7.9" style="357" customWidth="1"/>
    <col min="6" max="7" width="9" style="357"/>
    <col min="8" max="8" width="7.9" style="357" customWidth="1"/>
    <col min="9" max="9" width="7.5" style="357" customWidth="1"/>
    <col min="10" max="10" width="9.6" style="358" customWidth="1"/>
    <col min="11" max="11" width="9.6" style="357" customWidth="1"/>
    <col min="12" max="12" width="9.1" style="357" customWidth="1"/>
    <col min="13" max="13" width="6.5" style="357" customWidth="1"/>
    <col min="14" max="14" width="12.9" style="357" customWidth="1"/>
    <col min="15" max="15" width="12.6" style="357" customWidth="1"/>
    <col min="16" max="16" width="11.4" style="357" customWidth="1"/>
    <col min="17" max="17" width="10.4" style="357" customWidth="1"/>
    <col min="18" max="18" width="8.1" style="357" customWidth="1"/>
    <col min="19" max="19" width="8" style="357" customWidth="1"/>
    <col min="20" max="20" width="8.1" style="357" customWidth="1"/>
    <col min="21" max="21" width="8.5" style="357" customWidth="1"/>
    <col min="22" max="16384" width="9" style="357"/>
  </cols>
  <sheetData>
    <row r="1" s="140" customFormat="1" ht="28.5" customHeight="1" spans="1:21">
      <c r="A1" s="65" t="s">
        <v>58</v>
      </c>
      <c r="B1" s="359" t="s">
        <v>46</v>
      </c>
      <c r="C1" s="360"/>
      <c r="D1" s="360"/>
      <c r="E1" s="360"/>
      <c r="F1" s="360"/>
      <c r="G1" s="360"/>
      <c r="H1" s="360"/>
      <c r="I1" s="360"/>
      <c r="J1" s="360"/>
      <c r="K1" s="360"/>
      <c r="L1" s="360"/>
      <c r="M1" s="360"/>
      <c r="N1" s="360"/>
      <c r="O1" s="360"/>
      <c r="P1" s="360"/>
      <c r="Q1" s="360"/>
      <c r="R1" s="360"/>
      <c r="S1" s="405"/>
      <c r="T1" s="150" t="s">
        <v>59</v>
      </c>
      <c r="U1" s="126" t="str">
        <f>目录!E15</f>
        <v>1010-9</v>
      </c>
    </row>
    <row r="2" s="140" customFormat="1" ht="26.1" customHeight="1" spans="2:17">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361"/>
      <c r="E2" s="362"/>
      <c r="F2" s="150"/>
      <c r="G2" s="150"/>
      <c r="H2" s="150"/>
      <c r="I2" s="150"/>
      <c r="J2" s="387"/>
      <c r="K2" s="150"/>
      <c r="L2" s="150"/>
      <c r="M2" s="388"/>
      <c r="O2" s="150"/>
      <c r="P2" s="150"/>
      <c r="Q2" s="128"/>
    </row>
    <row r="3" s="242" customFormat="1" ht="12" customHeight="1" spans="10:10">
      <c r="J3" s="389"/>
    </row>
    <row r="4" s="355" customFormat="1" ht="49.5" customHeight="1" spans="2:21">
      <c r="B4" s="363" t="s">
        <v>393</v>
      </c>
      <c r="C4" s="364" t="s">
        <v>223</v>
      </c>
      <c r="D4" s="365" t="s">
        <v>394</v>
      </c>
      <c r="E4" s="365" t="s">
        <v>395</v>
      </c>
      <c r="F4" s="366" t="s">
        <v>396</v>
      </c>
      <c r="G4" s="366" t="s">
        <v>397</v>
      </c>
      <c r="H4" s="366" t="s">
        <v>398</v>
      </c>
      <c r="I4" s="366" t="s">
        <v>399</v>
      </c>
      <c r="J4" s="366" t="s">
        <v>400</v>
      </c>
      <c r="K4" s="366" t="s">
        <v>401</v>
      </c>
      <c r="L4" s="366" t="s">
        <v>402</v>
      </c>
      <c r="M4" s="390" t="s">
        <v>403</v>
      </c>
      <c r="N4" s="366" t="s">
        <v>404</v>
      </c>
      <c r="O4" s="365" t="s">
        <v>405</v>
      </c>
      <c r="P4" s="366" t="s">
        <v>352</v>
      </c>
      <c r="Q4" s="365" t="s">
        <v>406</v>
      </c>
      <c r="R4" s="366" t="s">
        <v>407</v>
      </c>
      <c r="S4" s="366" t="s">
        <v>408</v>
      </c>
      <c r="T4" s="365" t="s">
        <v>409</v>
      </c>
      <c r="U4" s="406" t="s">
        <v>410</v>
      </c>
    </row>
    <row r="5" ht="18" customHeight="1" spans="2:21">
      <c r="B5" s="367" t="s">
        <v>411</v>
      </c>
      <c r="C5" s="368"/>
      <c r="D5" s="369"/>
      <c r="E5" s="370"/>
      <c r="F5" s="370"/>
      <c r="G5" s="370"/>
      <c r="H5" s="370"/>
      <c r="I5" s="370"/>
      <c r="J5" s="391"/>
      <c r="K5" s="391"/>
      <c r="L5" s="370"/>
      <c r="M5" s="392"/>
      <c r="N5" s="393"/>
      <c r="O5" s="393"/>
      <c r="P5" s="393"/>
      <c r="Q5" s="407"/>
      <c r="R5" s="408"/>
      <c r="S5" s="408"/>
      <c r="T5" s="409"/>
      <c r="U5" s="410"/>
    </row>
    <row r="6" ht="18" customHeight="1" spans="2:21">
      <c r="B6" s="371"/>
      <c r="C6" s="372"/>
      <c r="D6" s="369"/>
      <c r="E6" s="370"/>
      <c r="F6" s="370"/>
      <c r="G6" s="370" t="s">
        <v>412</v>
      </c>
      <c r="H6" s="373"/>
      <c r="I6" s="373"/>
      <c r="J6" s="391"/>
      <c r="K6" s="391"/>
      <c r="L6" s="370"/>
      <c r="M6" s="392"/>
      <c r="N6" s="393"/>
      <c r="O6" s="393"/>
      <c r="P6" s="394">
        <f>N6-O6</f>
        <v>0</v>
      </c>
      <c r="Q6" s="411">
        <f>ROUND(N6*M6*(K6-J6)/360,2)</f>
        <v>0</v>
      </c>
      <c r="R6" s="412"/>
      <c r="S6" s="412"/>
      <c r="T6" s="409"/>
      <c r="U6" s="410"/>
    </row>
    <row r="7" ht="18" customHeight="1" spans="2:21">
      <c r="B7" s="371"/>
      <c r="C7" s="372"/>
      <c r="D7" s="369"/>
      <c r="E7" s="370"/>
      <c r="F7" s="370"/>
      <c r="G7" s="370" t="s">
        <v>412</v>
      </c>
      <c r="H7" s="373"/>
      <c r="I7" s="373"/>
      <c r="J7" s="391"/>
      <c r="K7" s="391"/>
      <c r="L7" s="370"/>
      <c r="M7" s="392"/>
      <c r="N7" s="393"/>
      <c r="O7" s="393"/>
      <c r="P7" s="394">
        <f t="shared" ref="P7:P13" si="0">N7-O7</f>
        <v>0</v>
      </c>
      <c r="Q7" s="411">
        <f t="shared" ref="Q7:Q21" si="1">ROUND(N7*M7*(K7-J7)/360,2)</f>
        <v>0</v>
      </c>
      <c r="R7" s="412"/>
      <c r="S7" s="412"/>
      <c r="T7" s="409"/>
      <c r="U7" s="410"/>
    </row>
    <row r="8" ht="18" customHeight="1" spans="2:21">
      <c r="B8" s="371"/>
      <c r="C8" s="372"/>
      <c r="D8" s="369"/>
      <c r="E8" s="370"/>
      <c r="F8" s="370"/>
      <c r="G8" s="370" t="s">
        <v>412</v>
      </c>
      <c r="H8" s="373"/>
      <c r="I8" s="373"/>
      <c r="J8" s="391"/>
      <c r="K8" s="391"/>
      <c r="L8" s="370"/>
      <c r="M8" s="392"/>
      <c r="N8" s="393"/>
      <c r="O8" s="393"/>
      <c r="P8" s="394">
        <f t="shared" si="0"/>
        <v>0</v>
      </c>
      <c r="Q8" s="411">
        <f t="shared" si="1"/>
        <v>0</v>
      </c>
      <c r="R8" s="412"/>
      <c r="S8" s="412"/>
      <c r="T8" s="413"/>
      <c r="U8" s="410"/>
    </row>
    <row r="9" ht="18" customHeight="1" spans="2:21">
      <c r="B9" s="371"/>
      <c r="C9" s="372"/>
      <c r="D9" s="369"/>
      <c r="E9" s="370"/>
      <c r="F9" s="370"/>
      <c r="G9" s="370" t="s">
        <v>412</v>
      </c>
      <c r="H9" s="373"/>
      <c r="I9" s="373"/>
      <c r="J9" s="391"/>
      <c r="K9" s="391"/>
      <c r="L9" s="370"/>
      <c r="M9" s="392"/>
      <c r="N9" s="393"/>
      <c r="O9" s="393"/>
      <c r="P9" s="394">
        <f t="shared" si="0"/>
        <v>0</v>
      </c>
      <c r="Q9" s="411">
        <f t="shared" si="1"/>
        <v>0</v>
      </c>
      <c r="R9" s="412"/>
      <c r="S9" s="412"/>
      <c r="T9" s="414"/>
      <c r="U9" s="410"/>
    </row>
    <row r="10" ht="18" customHeight="1" spans="2:21">
      <c r="B10" s="371"/>
      <c r="C10" s="372"/>
      <c r="D10" s="369"/>
      <c r="E10" s="370"/>
      <c r="F10" s="370"/>
      <c r="G10" s="370" t="s">
        <v>412</v>
      </c>
      <c r="H10" s="373"/>
      <c r="I10" s="373"/>
      <c r="J10" s="391"/>
      <c r="K10" s="391"/>
      <c r="L10" s="370"/>
      <c r="M10" s="392"/>
      <c r="N10" s="393"/>
      <c r="O10" s="393"/>
      <c r="P10" s="394">
        <f t="shared" si="0"/>
        <v>0</v>
      </c>
      <c r="Q10" s="411">
        <f t="shared" si="1"/>
        <v>0</v>
      </c>
      <c r="R10" s="412"/>
      <c r="S10" s="412"/>
      <c r="T10" s="409"/>
      <c r="U10" s="410"/>
    </row>
    <row r="11" ht="18" customHeight="1" spans="2:21">
      <c r="B11" s="371"/>
      <c r="C11" s="372"/>
      <c r="D11" s="369"/>
      <c r="E11" s="370"/>
      <c r="F11" s="370"/>
      <c r="G11" s="370" t="s">
        <v>412</v>
      </c>
      <c r="H11" s="373"/>
      <c r="I11" s="373"/>
      <c r="J11" s="391"/>
      <c r="K11" s="391"/>
      <c r="L11" s="370"/>
      <c r="M11" s="392"/>
      <c r="N11" s="393"/>
      <c r="O11" s="393"/>
      <c r="P11" s="394">
        <f t="shared" si="0"/>
        <v>0</v>
      </c>
      <c r="Q11" s="411">
        <f t="shared" si="1"/>
        <v>0</v>
      </c>
      <c r="R11" s="412"/>
      <c r="S11" s="412"/>
      <c r="T11" s="409"/>
      <c r="U11" s="410"/>
    </row>
    <row r="12" ht="18" customHeight="1" spans="2:21">
      <c r="B12" s="371"/>
      <c r="C12" s="372"/>
      <c r="D12" s="369"/>
      <c r="E12" s="370"/>
      <c r="F12" s="370"/>
      <c r="G12" s="370" t="s">
        <v>412</v>
      </c>
      <c r="H12" s="373"/>
      <c r="I12" s="373"/>
      <c r="J12" s="391"/>
      <c r="K12" s="391"/>
      <c r="L12" s="370"/>
      <c r="M12" s="392"/>
      <c r="N12" s="393"/>
      <c r="O12" s="393"/>
      <c r="P12" s="394">
        <f t="shared" si="0"/>
        <v>0</v>
      </c>
      <c r="Q12" s="411">
        <f t="shared" si="1"/>
        <v>0</v>
      </c>
      <c r="R12" s="412"/>
      <c r="S12" s="412"/>
      <c r="T12" s="409"/>
      <c r="U12" s="410"/>
    </row>
    <row r="13" ht="18" customHeight="1" spans="2:21">
      <c r="B13" s="371"/>
      <c r="C13" s="372"/>
      <c r="D13" s="369"/>
      <c r="E13" s="370"/>
      <c r="F13" s="370"/>
      <c r="G13" s="370" t="s">
        <v>412</v>
      </c>
      <c r="H13" s="373"/>
      <c r="I13" s="373"/>
      <c r="J13" s="391"/>
      <c r="K13" s="391"/>
      <c r="L13" s="370"/>
      <c r="M13" s="392"/>
      <c r="N13" s="393"/>
      <c r="O13" s="393"/>
      <c r="P13" s="394">
        <f t="shared" si="0"/>
        <v>0</v>
      </c>
      <c r="Q13" s="411">
        <f t="shared" si="1"/>
        <v>0</v>
      </c>
      <c r="R13" s="412"/>
      <c r="S13" s="412"/>
      <c r="T13" s="409"/>
      <c r="U13" s="410"/>
    </row>
    <row r="14" ht="18" customHeight="1" spans="2:21">
      <c r="B14" s="367" t="s">
        <v>413</v>
      </c>
      <c r="C14" s="368"/>
      <c r="D14" s="369"/>
      <c r="E14" s="370"/>
      <c r="F14" s="370"/>
      <c r="G14" s="370"/>
      <c r="H14" s="370"/>
      <c r="I14" s="370"/>
      <c r="J14" s="391"/>
      <c r="K14" s="391"/>
      <c r="L14" s="370"/>
      <c r="M14" s="392"/>
      <c r="N14" s="393"/>
      <c r="O14" s="393"/>
      <c r="P14" s="393"/>
      <c r="Q14" s="407"/>
      <c r="R14" s="408"/>
      <c r="S14" s="408"/>
      <c r="T14" s="409"/>
      <c r="U14" s="410"/>
    </row>
    <row r="15" ht="18" customHeight="1" spans="2:21">
      <c r="B15" s="371"/>
      <c r="C15" s="372"/>
      <c r="D15" s="369"/>
      <c r="E15" s="370"/>
      <c r="F15" s="370" t="s">
        <v>412</v>
      </c>
      <c r="G15" s="373"/>
      <c r="H15" s="373"/>
      <c r="I15" s="373"/>
      <c r="J15" s="391"/>
      <c r="K15" s="391"/>
      <c r="L15" s="370"/>
      <c r="M15" s="392"/>
      <c r="N15" s="393"/>
      <c r="O15" s="393"/>
      <c r="P15" s="394">
        <f>N15-O15</f>
        <v>0</v>
      </c>
      <c r="Q15" s="411">
        <f t="shared" si="1"/>
        <v>0</v>
      </c>
      <c r="R15" s="412"/>
      <c r="S15" s="412"/>
      <c r="T15" s="409"/>
      <c r="U15" s="410"/>
    </row>
    <row r="16" ht="18" customHeight="1" spans="2:21">
      <c r="B16" s="371"/>
      <c r="C16" s="372"/>
      <c r="D16" s="369"/>
      <c r="E16" s="370"/>
      <c r="F16" s="370" t="s">
        <v>412</v>
      </c>
      <c r="G16" s="373"/>
      <c r="H16" s="373"/>
      <c r="I16" s="373"/>
      <c r="J16" s="391"/>
      <c r="K16" s="391"/>
      <c r="L16" s="370"/>
      <c r="M16" s="392"/>
      <c r="N16" s="393"/>
      <c r="O16" s="393"/>
      <c r="P16" s="394">
        <f t="shared" ref="P16:P21" si="2">N16-O16</f>
        <v>0</v>
      </c>
      <c r="Q16" s="411">
        <f t="shared" si="1"/>
        <v>0</v>
      </c>
      <c r="R16" s="412"/>
      <c r="S16" s="412"/>
      <c r="T16" s="409"/>
      <c r="U16" s="410"/>
    </row>
    <row r="17" ht="18" customHeight="1" spans="2:21">
      <c r="B17" s="371"/>
      <c r="C17" s="372"/>
      <c r="D17" s="369"/>
      <c r="E17" s="370"/>
      <c r="F17" s="370" t="s">
        <v>412</v>
      </c>
      <c r="G17" s="373"/>
      <c r="H17" s="373"/>
      <c r="I17" s="373"/>
      <c r="J17" s="391"/>
      <c r="K17" s="391"/>
      <c r="L17" s="370"/>
      <c r="M17" s="392"/>
      <c r="N17" s="393"/>
      <c r="O17" s="393"/>
      <c r="P17" s="394">
        <f t="shared" si="2"/>
        <v>0</v>
      </c>
      <c r="Q17" s="411">
        <f t="shared" si="1"/>
        <v>0</v>
      </c>
      <c r="R17" s="412"/>
      <c r="S17" s="412"/>
      <c r="T17" s="409"/>
      <c r="U17" s="410"/>
    </row>
    <row r="18" ht="18" customHeight="1" spans="2:21">
      <c r="B18" s="371"/>
      <c r="C18" s="372"/>
      <c r="D18" s="369"/>
      <c r="E18" s="370"/>
      <c r="F18" s="370" t="s">
        <v>412</v>
      </c>
      <c r="G18" s="373"/>
      <c r="H18" s="373"/>
      <c r="I18" s="373"/>
      <c r="J18" s="391"/>
      <c r="K18" s="391"/>
      <c r="L18" s="370"/>
      <c r="M18" s="392"/>
      <c r="N18" s="393"/>
      <c r="O18" s="393"/>
      <c r="P18" s="394">
        <f t="shared" si="2"/>
        <v>0</v>
      </c>
      <c r="Q18" s="411">
        <f t="shared" si="1"/>
        <v>0</v>
      </c>
      <c r="R18" s="412"/>
      <c r="S18" s="412"/>
      <c r="T18" s="409"/>
      <c r="U18" s="410"/>
    </row>
    <row r="19" ht="18" customHeight="1" spans="2:21">
      <c r="B19" s="371"/>
      <c r="C19" s="372"/>
      <c r="D19" s="369"/>
      <c r="E19" s="370"/>
      <c r="F19" s="370" t="s">
        <v>412</v>
      </c>
      <c r="G19" s="373"/>
      <c r="H19" s="373"/>
      <c r="I19" s="373"/>
      <c r="J19" s="391"/>
      <c r="K19" s="391"/>
      <c r="L19" s="370"/>
      <c r="M19" s="392"/>
      <c r="N19" s="393"/>
      <c r="O19" s="393"/>
      <c r="P19" s="394">
        <f t="shared" si="2"/>
        <v>0</v>
      </c>
      <c r="Q19" s="411">
        <f t="shared" si="1"/>
        <v>0</v>
      </c>
      <c r="R19" s="412"/>
      <c r="S19" s="412"/>
      <c r="T19" s="409"/>
      <c r="U19" s="410"/>
    </row>
    <row r="20" ht="18" customHeight="1" spans="2:21">
      <c r="B20" s="371"/>
      <c r="C20" s="372"/>
      <c r="D20" s="369"/>
      <c r="E20" s="370"/>
      <c r="F20" s="370" t="s">
        <v>412</v>
      </c>
      <c r="G20" s="373"/>
      <c r="H20" s="373"/>
      <c r="I20" s="373"/>
      <c r="J20" s="391"/>
      <c r="K20" s="391"/>
      <c r="L20" s="370"/>
      <c r="M20" s="392"/>
      <c r="N20" s="393"/>
      <c r="O20" s="393"/>
      <c r="P20" s="394">
        <f t="shared" si="2"/>
        <v>0</v>
      </c>
      <c r="Q20" s="411">
        <f t="shared" si="1"/>
        <v>0</v>
      </c>
      <c r="R20" s="412"/>
      <c r="S20" s="412"/>
      <c r="T20" s="409"/>
      <c r="U20" s="410"/>
    </row>
    <row r="21" ht="18" customHeight="1" spans="2:21">
      <c r="B21" s="371"/>
      <c r="C21" s="372"/>
      <c r="D21" s="369"/>
      <c r="E21" s="370"/>
      <c r="F21" s="370" t="s">
        <v>412</v>
      </c>
      <c r="G21" s="373"/>
      <c r="H21" s="373"/>
      <c r="I21" s="373"/>
      <c r="J21" s="391"/>
      <c r="K21" s="391"/>
      <c r="L21" s="370"/>
      <c r="M21" s="392"/>
      <c r="N21" s="393"/>
      <c r="O21" s="393"/>
      <c r="P21" s="394">
        <f t="shared" si="2"/>
        <v>0</v>
      </c>
      <c r="Q21" s="411">
        <f t="shared" si="1"/>
        <v>0</v>
      </c>
      <c r="R21" s="412"/>
      <c r="S21" s="412"/>
      <c r="T21" s="409"/>
      <c r="U21" s="410"/>
    </row>
    <row r="22" ht="18" customHeight="1" spans="2:21">
      <c r="B22" s="374" t="s">
        <v>414</v>
      </c>
      <c r="C22" s="375"/>
      <c r="D22" s="376"/>
      <c r="E22" s="376"/>
      <c r="F22" s="376"/>
      <c r="G22" s="376"/>
      <c r="H22" s="376"/>
      <c r="I22" s="376"/>
      <c r="J22" s="395"/>
      <c r="K22" s="395"/>
      <c r="L22" s="376"/>
      <c r="M22" s="396"/>
      <c r="N22" s="397">
        <f>SUM(N5:N21)</f>
        <v>0</v>
      </c>
      <c r="O22" s="397">
        <f>SUM(O5:O21)</f>
        <v>0</v>
      </c>
      <c r="P22" s="397">
        <f>SUM(P5:P21)</f>
        <v>0</v>
      </c>
      <c r="Q22" s="397">
        <f>SUM(Q5:Q21)</f>
        <v>0</v>
      </c>
      <c r="R22" s="415"/>
      <c r="S22" s="416"/>
      <c r="T22" s="416"/>
      <c r="U22" s="417"/>
    </row>
    <row r="23" ht="18" customHeight="1" spans="2:21">
      <c r="B23" s="377"/>
      <c r="C23" s="377"/>
      <c r="D23" s="377"/>
      <c r="E23" s="377"/>
      <c r="F23" s="377"/>
      <c r="G23" s="377"/>
      <c r="H23" s="377"/>
      <c r="I23" s="377"/>
      <c r="J23" s="377"/>
      <c r="K23" s="377"/>
      <c r="L23" s="377"/>
      <c r="M23" s="398"/>
      <c r="N23" s="377"/>
      <c r="O23" s="377"/>
      <c r="P23" s="377"/>
      <c r="Q23" s="377"/>
      <c r="R23" s="377"/>
      <c r="S23" s="377"/>
      <c r="T23" s="377"/>
      <c r="U23" s="377"/>
    </row>
    <row r="24" s="193" customFormat="1" ht="18" customHeight="1" spans="2:21">
      <c r="B24" s="378" t="s">
        <v>415</v>
      </c>
      <c r="C24" s="378"/>
      <c r="D24" s="379"/>
      <c r="E24" s="379"/>
      <c r="F24" s="379"/>
      <c r="G24" s="379"/>
      <c r="H24" s="379"/>
      <c r="I24" s="379"/>
      <c r="J24" s="379"/>
      <c r="K24" s="379"/>
      <c r="L24" s="379"/>
      <c r="M24" s="399"/>
      <c r="N24" s="379"/>
      <c r="O24" s="379"/>
      <c r="P24" s="379"/>
      <c r="Q24" s="379"/>
      <c r="R24" s="379"/>
      <c r="S24" s="379"/>
      <c r="T24" s="379"/>
      <c r="U24" s="379"/>
    </row>
    <row r="25" s="193" customFormat="1" ht="18" customHeight="1" spans="2:21">
      <c r="B25" s="380" t="s">
        <v>416</v>
      </c>
      <c r="C25" s="381"/>
      <c r="D25" s="377"/>
      <c r="E25" s="377"/>
      <c r="F25" s="377"/>
      <c r="G25" s="377"/>
      <c r="H25" s="377"/>
      <c r="I25" s="377"/>
      <c r="J25" s="377"/>
      <c r="K25" s="377"/>
      <c r="L25" s="377"/>
      <c r="M25" s="398"/>
      <c r="N25" s="377"/>
      <c r="O25" s="377"/>
      <c r="P25" s="377"/>
      <c r="Q25" s="377"/>
      <c r="R25" s="377"/>
      <c r="S25" s="377"/>
      <c r="T25" s="377"/>
      <c r="U25" s="418"/>
    </row>
    <row r="26" s="193" customFormat="1" ht="18" customHeight="1" spans="2:21">
      <c r="B26" s="382" t="s">
        <v>417</v>
      </c>
      <c r="C26" s="379"/>
      <c r="D26" s="379"/>
      <c r="E26" s="379"/>
      <c r="F26" s="379"/>
      <c r="G26" s="379"/>
      <c r="H26" s="379"/>
      <c r="I26" s="379"/>
      <c r="J26" s="379"/>
      <c r="K26" s="379"/>
      <c r="L26" s="379"/>
      <c r="M26" s="399"/>
      <c r="N26" s="379"/>
      <c r="O26" s="379"/>
      <c r="P26" s="379"/>
      <c r="Q26" s="379"/>
      <c r="R26" s="379"/>
      <c r="S26" s="379"/>
      <c r="T26" s="379"/>
      <c r="U26" s="419"/>
    </row>
    <row r="27" s="193" customFormat="1" ht="18" customHeight="1" spans="2:21">
      <c r="B27" s="383" t="s">
        <v>418</v>
      </c>
      <c r="C27" s="384"/>
      <c r="D27" s="379"/>
      <c r="E27" s="379"/>
      <c r="F27" s="379"/>
      <c r="G27" s="379"/>
      <c r="H27" s="379"/>
      <c r="I27" s="379"/>
      <c r="J27" s="379"/>
      <c r="K27" s="379"/>
      <c r="L27" s="379"/>
      <c r="M27" s="399"/>
      <c r="N27" s="379"/>
      <c r="O27" s="379"/>
      <c r="P27" s="379"/>
      <c r="Q27" s="379"/>
      <c r="R27" s="379"/>
      <c r="S27" s="379"/>
      <c r="T27" s="379"/>
      <c r="U27" s="419"/>
    </row>
    <row r="28" s="193" customFormat="1" ht="18" customHeight="1" spans="2:21">
      <c r="B28" s="385"/>
      <c r="C28" s="386"/>
      <c r="D28" s="386"/>
      <c r="E28" s="386"/>
      <c r="F28" s="386"/>
      <c r="G28" s="386"/>
      <c r="H28" s="386"/>
      <c r="I28" s="386"/>
      <c r="J28" s="386"/>
      <c r="K28" s="386"/>
      <c r="L28" s="386"/>
      <c r="M28" s="400"/>
      <c r="N28" s="386"/>
      <c r="O28" s="386"/>
      <c r="P28" s="386"/>
      <c r="Q28" s="386"/>
      <c r="R28" s="386"/>
      <c r="S28" s="386"/>
      <c r="T28" s="386"/>
      <c r="U28" s="420"/>
    </row>
    <row r="29" s="356" customFormat="1" ht="18" customHeight="1" spans="10:10">
      <c r="J29" s="401"/>
    </row>
    <row r="30" s="356" customFormat="1" ht="18" customHeight="1" spans="2:10">
      <c r="B30" s="356" t="s">
        <v>419</v>
      </c>
      <c r="J30" s="401"/>
    </row>
    <row r="31" s="356" customFormat="1" ht="18" customHeight="1" spans="2:10">
      <c r="B31" s="356" t="s">
        <v>420</v>
      </c>
      <c r="J31" s="401"/>
    </row>
    <row r="32" s="356" customFormat="1" ht="18" customHeight="1" spans="2:10">
      <c r="B32" s="356" t="s">
        <v>421</v>
      </c>
      <c r="J32" s="402"/>
    </row>
    <row r="33" s="193" customFormat="1" ht="18" customHeight="1" spans="10:10">
      <c r="J33" s="403"/>
    </row>
    <row r="34" s="193" customFormat="1" ht="18" customHeight="1" spans="10:10">
      <c r="J34" s="403"/>
    </row>
    <row r="35" ht="18" customHeight="1" spans="10:10">
      <c r="J35" s="404"/>
    </row>
    <row r="36" ht="18" customHeight="1" spans="10:10">
      <c r="J36" s="404"/>
    </row>
    <row r="37" ht="18" customHeight="1" spans="10:10">
      <c r="J37" s="404"/>
    </row>
    <row r="38" ht="18" customHeight="1" spans="10:10">
      <c r="J38" s="404"/>
    </row>
    <row r="39" ht="18" customHeight="1" spans="10:10">
      <c r="J39" s="404"/>
    </row>
    <row r="40" ht="18" customHeight="1" spans="10:10">
      <c r="J40" s="404"/>
    </row>
    <row r="41" ht="18" customHeight="1" spans="10:10">
      <c r="J41" s="404"/>
    </row>
    <row r="42" ht="18" customHeight="1" spans="10:10">
      <c r="J42" s="404"/>
    </row>
    <row r="43" ht="18" customHeight="1" spans="10:10">
      <c r="J43" s="404"/>
    </row>
    <row r="44" ht="18" customHeight="1" spans="10:10">
      <c r="J44" s="404"/>
    </row>
    <row r="45" ht="18" customHeight="1" spans="10:10">
      <c r="J45" s="404"/>
    </row>
    <row r="46" ht="18" customHeight="1" spans="10:10">
      <c r="J46" s="404"/>
    </row>
    <row r="47" ht="18" customHeight="1" spans="10:10">
      <c r="J47" s="404"/>
    </row>
    <row r="48" ht="18" customHeight="1" spans="10:10">
      <c r="J48" s="404"/>
    </row>
    <row r="49" ht="18" customHeight="1" spans="10:10">
      <c r="J49" s="404"/>
    </row>
    <row r="50" ht="18" customHeight="1" spans="10:10">
      <c r="J50" s="404"/>
    </row>
    <row r="51" ht="18" customHeight="1" spans="10:10">
      <c r="J51" s="404"/>
    </row>
    <row r="52" ht="18" customHeight="1" spans="10:10">
      <c r="J52" s="404"/>
    </row>
    <row r="53" ht="18" customHeight="1" spans="10:10">
      <c r="J53" s="404"/>
    </row>
    <row r="54" ht="18" customHeight="1" spans="10:10">
      <c r="J54" s="404"/>
    </row>
    <row r="55" ht="18" customHeight="1" spans="10:10">
      <c r="J55" s="404"/>
    </row>
  </sheetData>
  <dataValidations count="2">
    <dataValidation type="list" allowBlank="1" showInputMessage="1" showErrorMessage="1" sqref="G15:I21 H6:I13">
      <formula1>"能,不能"</formula1>
    </dataValidation>
    <dataValidation type="list" allowBlank="1" showInputMessage="1" showErrorMessage="1" sqref="R6:S13 R15:S21">
      <formula1>"√"</formula1>
    </dataValidation>
  </dataValidations>
  <hyperlinks>
    <hyperlink ref="A1" location="'目录'!C15" display="&lt;&lt;"/>
  </hyperlinks>
  <printOptions horizontalCentered="1"/>
  <pageMargins left="0.196850393700787" right="0.196850393700787" top="0.984251968503937" bottom="0.984251968503937" header="0.511811023622047" footer="0.511811023622047"/>
  <pageSetup paperSize="9" scale="69" orientation="landscape" blackAndWhite="1"/>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92D050"/>
  </sheetPr>
  <dimension ref="A1:AN49"/>
  <sheetViews>
    <sheetView showGridLines="0" workbookViewId="0">
      <pane ySplit="4" topLeftCell="A5" activePane="bottomLeft" state="frozen"/>
      <selection/>
      <selection pane="bottomLeft" activeCell="B1" sqref="B1"/>
    </sheetView>
  </sheetViews>
  <sheetFormatPr defaultColWidth="9" defaultRowHeight="13"/>
  <cols>
    <col min="1" max="1" width="2.6" style="143" customWidth="1"/>
    <col min="2" max="2" width="16.1" style="143" customWidth="1"/>
    <col min="3" max="3" width="12.1" style="143" customWidth="1"/>
    <col min="4" max="4" width="8.5" style="143" customWidth="1"/>
    <col min="5" max="5" width="10.5" style="143" customWidth="1"/>
    <col min="6" max="6" width="9.1" style="143" customWidth="1"/>
    <col min="7" max="7" width="12.6" style="143" customWidth="1"/>
    <col min="8" max="8" width="15.1" style="145" customWidth="1"/>
    <col min="9" max="9" width="9.6" style="143" customWidth="1"/>
    <col min="10" max="10" width="4.5" style="143" customWidth="1"/>
    <col min="11" max="36" width="9" style="143" hidden="1" outlineLevel="1"/>
    <col min="37" max="37" width="28.6" style="143" customWidth="1" collapsed="1"/>
    <col min="38" max="39" width="11.4" style="143" customWidth="1"/>
    <col min="40" max="16384" width="9" style="143"/>
  </cols>
  <sheetData>
    <row r="1" s="140" customFormat="1" ht="28.5" customHeight="1" spans="1:9">
      <c r="A1" s="65" t="s">
        <v>58</v>
      </c>
      <c r="B1" s="299" t="s">
        <v>48</v>
      </c>
      <c r="C1" s="300"/>
      <c r="D1" s="300"/>
      <c r="E1" s="300"/>
      <c r="F1" s="300"/>
      <c r="G1" s="300"/>
      <c r="H1" s="250" t="s">
        <v>59</v>
      </c>
      <c r="I1" s="126" t="str">
        <f>目录!E16</f>
        <v>1010-10</v>
      </c>
    </row>
    <row r="2" s="140" customFormat="1" ht="26.1" customHeight="1" spans="2:9">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250"/>
      <c r="E2" s="250"/>
      <c r="F2" s="250"/>
      <c r="G2" s="250"/>
      <c r="H2" s="251"/>
      <c r="I2" s="128"/>
    </row>
    <row r="3" s="140" customFormat="1" ht="12" customHeight="1" spans="2:39">
      <c r="B3" s="301"/>
      <c r="C3" s="301"/>
      <c r="D3" s="302"/>
      <c r="E3" s="302"/>
      <c r="F3" s="302"/>
      <c r="G3" s="302"/>
      <c r="H3" s="153"/>
      <c r="I3" s="330"/>
      <c r="AK3" s="341" t="s">
        <v>222</v>
      </c>
      <c r="AL3" s="342"/>
      <c r="AM3" s="342"/>
    </row>
    <row r="4" ht="24" customHeight="1" spans="2:39">
      <c r="B4" s="303" t="s">
        <v>422</v>
      </c>
      <c r="C4" s="304" t="s">
        <v>223</v>
      </c>
      <c r="D4" s="305" t="s">
        <v>224</v>
      </c>
      <c r="E4" s="306" t="s">
        <v>423</v>
      </c>
      <c r="F4" s="306" t="s">
        <v>424</v>
      </c>
      <c r="G4" s="256" t="s">
        <v>425</v>
      </c>
      <c r="H4" s="304" t="s">
        <v>426</v>
      </c>
      <c r="I4" s="331" t="s">
        <v>182</v>
      </c>
      <c r="AK4" s="343" t="s">
        <v>237</v>
      </c>
      <c r="AL4" s="344" t="s">
        <v>190</v>
      </c>
      <c r="AM4" s="345" t="s">
        <v>228</v>
      </c>
    </row>
    <row r="5" ht="18" customHeight="1" spans="2:39">
      <c r="B5" s="307" t="s">
        <v>427</v>
      </c>
      <c r="C5" s="308"/>
      <c r="D5" s="309"/>
      <c r="E5" s="310"/>
      <c r="F5" s="311"/>
      <c r="G5" s="222">
        <f>E5*F5</f>
        <v>0</v>
      </c>
      <c r="H5" s="308"/>
      <c r="I5" s="332"/>
      <c r="J5" s="333"/>
      <c r="AK5" s="346" t="str">
        <f t="shared" ref="AK5:AK11" si="0">B5&amp;""</f>
        <v>银行承兑汇票保证金</v>
      </c>
      <c r="AL5" s="219"/>
      <c r="AM5" s="347">
        <f>SUMIF($B$5:$B$11,AK5,$G$5:$G$11)</f>
        <v>0</v>
      </c>
    </row>
    <row r="6" ht="18" customHeight="1" spans="2:39">
      <c r="B6" s="307" t="s">
        <v>428</v>
      </c>
      <c r="C6" s="312"/>
      <c r="D6" s="309"/>
      <c r="E6" s="310"/>
      <c r="F6" s="311"/>
      <c r="G6" s="222">
        <f t="shared" ref="G6:G11" si="1">E6*F6</f>
        <v>0</v>
      </c>
      <c r="H6" s="312"/>
      <c r="I6" s="332"/>
      <c r="AK6" s="346" t="str">
        <f t="shared" si="0"/>
        <v>信用证保证金</v>
      </c>
      <c r="AL6" s="219"/>
      <c r="AM6" s="347">
        <f t="shared" ref="AM6:AM11" si="2">SUMIF($B$5:$B$11,AK6,$G$5:$G$11)</f>
        <v>0</v>
      </c>
    </row>
    <row r="7" ht="18" customHeight="1" spans="2:39">
      <c r="B7" s="307" t="s">
        <v>429</v>
      </c>
      <c r="C7" s="312"/>
      <c r="D7" s="309"/>
      <c r="E7" s="310"/>
      <c r="F7" s="311"/>
      <c r="G7" s="222">
        <f t="shared" si="1"/>
        <v>0</v>
      </c>
      <c r="H7" s="312"/>
      <c r="I7" s="332"/>
      <c r="AK7" s="346" t="str">
        <f t="shared" si="0"/>
        <v>履约保证金</v>
      </c>
      <c r="AL7" s="219"/>
      <c r="AM7" s="347">
        <f t="shared" si="2"/>
        <v>0</v>
      </c>
    </row>
    <row r="8" ht="18" customHeight="1" spans="2:39">
      <c r="B8" s="307" t="s">
        <v>430</v>
      </c>
      <c r="C8" s="312"/>
      <c r="D8" s="309"/>
      <c r="E8" s="310"/>
      <c r="F8" s="311"/>
      <c r="G8" s="222">
        <f t="shared" si="1"/>
        <v>0</v>
      </c>
      <c r="H8" s="312"/>
      <c r="I8" s="332"/>
      <c r="AK8" s="346" t="str">
        <f t="shared" si="0"/>
        <v>用于担保的定期存款或通知存款</v>
      </c>
      <c r="AL8" s="219"/>
      <c r="AM8" s="347">
        <f t="shared" si="2"/>
        <v>0</v>
      </c>
    </row>
    <row r="9" ht="18" customHeight="1" spans="2:39">
      <c r="B9" s="307" t="s">
        <v>431</v>
      </c>
      <c r="C9" s="312"/>
      <c r="D9" s="309"/>
      <c r="E9" s="310"/>
      <c r="F9" s="311"/>
      <c r="G9" s="222">
        <f t="shared" si="1"/>
        <v>0</v>
      </c>
      <c r="H9" s="312"/>
      <c r="I9" s="332"/>
      <c r="AK9" s="346" t="str">
        <f t="shared" si="0"/>
        <v>放在境外且资金汇回受到限制的款项</v>
      </c>
      <c r="AL9" s="219"/>
      <c r="AM9" s="347">
        <f t="shared" si="2"/>
        <v>0</v>
      </c>
    </row>
    <row r="10" ht="18" customHeight="1" spans="2:39">
      <c r="B10" s="313"/>
      <c r="C10" s="314"/>
      <c r="D10" s="315"/>
      <c r="E10" s="316"/>
      <c r="F10" s="317"/>
      <c r="G10" s="222">
        <f t="shared" si="1"/>
        <v>0</v>
      </c>
      <c r="H10" s="314"/>
      <c r="I10" s="334"/>
      <c r="AK10" s="346" t="str">
        <f t="shared" si="0"/>
        <v/>
      </c>
      <c r="AL10" s="348"/>
      <c r="AM10" s="347">
        <f t="shared" si="2"/>
        <v>0</v>
      </c>
    </row>
    <row r="11" ht="18" customHeight="1" spans="2:39">
      <c r="B11" s="313"/>
      <c r="C11" s="314"/>
      <c r="D11" s="315"/>
      <c r="E11" s="316"/>
      <c r="F11" s="317"/>
      <c r="G11" s="222">
        <f t="shared" si="1"/>
        <v>0</v>
      </c>
      <c r="H11" s="314"/>
      <c r="I11" s="334"/>
      <c r="AK11" s="346" t="str">
        <f t="shared" si="0"/>
        <v/>
      </c>
      <c r="AL11" s="348"/>
      <c r="AM11" s="347">
        <f t="shared" si="2"/>
        <v>0</v>
      </c>
    </row>
    <row r="12" s="298" customFormat="1" ht="18" hidden="1" customHeight="1" spans="1:40">
      <c r="A12" s="318" t="s">
        <v>432</v>
      </c>
      <c r="B12" s="319"/>
      <c r="C12" s="320"/>
      <c r="D12" s="321"/>
      <c r="E12" s="321"/>
      <c r="F12" s="321"/>
      <c r="G12" s="321"/>
      <c r="H12" s="321"/>
      <c r="I12" s="335"/>
      <c r="J12" s="336"/>
      <c r="AK12" s="349"/>
      <c r="AL12" s="350"/>
      <c r="AM12" s="351"/>
      <c r="AN12" s="352"/>
    </row>
    <row r="13" ht="18" customHeight="1" spans="2:39">
      <c r="B13" s="322" t="s">
        <v>433</v>
      </c>
      <c r="C13" s="323"/>
      <c r="D13" s="324"/>
      <c r="E13" s="325">
        <f>SUM(E5:E11)</f>
        <v>0</v>
      </c>
      <c r="F13" s="326"/>
      <c r="G13" s="325">
        <f>SUM(G5:G11)</f>
        <v>0</v>
      </c>
      <c r="H13" s="323"/>
      <c r="I13" s="337"/>
      <c r="AK13" s="322" t="s">
        <v>196</v>
      </c>
      <c r="AL13" s="353">
        <f>SUM(AL5:AL11)</f>
        <v>0</v>
      </c>
      <c r="AM13" s="354">
        <f>SUM(AM5:AM11)</f>
        <v>0</v>
      </c>
    </row>
    <row r="14" ht="18" customHeight="1" spans="8:8">
      <c r="H14" s="229"/>
    </row>
    <row r="15" ht="18" customHeight="1" spans="2:8">
      <c r="B15" s="195" t="s">
        <v>415</v>
      </c>
      <c r="C15" s="195"/>
      <c r="D15" s="233"/>
      <c r="E15" s="327"/>
      <c r="F15" s="197"/>
      <c r="G15" s="198"/>
      <c r="H15" s="233"/>
    </row>
    <row r="16" ht="18" customHeight="1" spans="2:10">
      <c r="B16" s="328"/>
      <c r="C16" s="200"/>
      <c r="D16" s="329"/>
      <c r="E16" s="203"/>
      <c r="F16" s="203"/>
      <c r="G16" s="203"/>
      <c r="H16" s="203"/>
      <c r="I16" s="338"/>
      <c r="J16" s="229"/>
    </row>
    <row r="17" ht="18" customHeight="1" spans="2:10">
      <c r="B17" s="204"/>
      <c r="C17" s="195"/>
      <c r="D17" s="195"/>
      <c r="E17" s="195"/>
      <c r="F17" s="195"/>
      <c r="G17" s="195"/>
      <c r="H17" s="195"/>
      <c r="I17" s="339"/>
      <c r="J17" s="229"/>
    </row>
    <row r="18" ht="18" customHeight="1" spans="2:10">
      <c r="B18" s="206"/>
      <c r="C18" s="207"/>
      <c r="D18" s="207"/>
      <c r="E18" s="207"/>
      <c r="F18" s="207"/>
      <c r="G18" s="207"/>
      <c r="H18" s="207"/>
      <c r="I18" s="340"/>
      <c r="J18" s="229"/>
    </row>
    <row r="19" ht="18" customHeight="1" spans="8:8">
      <c r="H19" s="229"/>
    </row>
    <row r="20" s="142" customFormat="1" ht="18" customHeight="1" spans="2:8">
      <c r="B20" s="142" t="s">
        <v>419</v>
      </c>
      <c r="H20" s="241"/>
    </row>
    <row r="21" s="142" customFormat="1" ht="18" customHeight="1" spans="2:8">
      <c r="B21" s="142" t="s">
        <v>434</v>
      </c>
      <c r="H21" s="241"/>
    </row>
    <row r="22" s="142" customFormat="1" ht="18" customHeight="1" spans="2:8">
      <c r="B22" s="142" t="s">
        <v>435</v>
      </c>
      <c r="H22" s="241"/>
    </row>
    <row r="23" ht="18" customHeight="1" spans="8:8">
      <c r="H23" s="229"/>
    </row>
    <row r="24" ht="18" customHeight="1" spans="8:8">
      <c r="H24" s="229"/>
    </row>
    <row r="25" ht="18" customHeight="1" spans="8:8">
      <c r="H25" s="229"/>
    </row>
    <row r="26" ht="18" customHeight="1" spans="8:8">
      <c r="H26" s="229"/>
    </row>
    <row r="27" ht="18" customHeight="1" spans="8:8">
      <c r="H27" s="229"/>
    </row>
    <row r="28" ht="18" customHeight="1" spans="8:8">
      <c r="H28" s="229"/>
    </row>
    <row r="29" ht="18" customHeight="1" spans="8:8">
      <c r="H29" s="229"/>
    </row>
    <row r="30" ht="18" customHeight="1" spans="8:8">
      <c r="H30" s="229"/>
    </row>
    <row r="31" ht="18" customHeight="1" spans="8:8">
      <c r="H31" s="229"/>
    </row>
    <row r="32" ht="18" customHeight="1" spans="8:8">
      <c r="H32" s="229"/>
    </row>
    <row r="33" ht="18" customHeight="1" spans="8:8">
      <c r="H33" s="229"/>
    </row>
    <row r="34" ht="18" customHeight="1" spans="8:8">
      <c r="H34" s="229"/>
    </row>
    <row r="35" ht="18" customHeight="1" spans="8:8">
      <c r="H35" s="229"/>
    </row>
    <row r="36" ht="18" customHeight="1" spans="8:8">
      <c r="H36" s="229"/>
    </row>
    <row r="37" ht="18" customHeight="1" spans="8:8">
      <c r="H37" s="229"/>
    </row>
    <row r="38" ht="18" customHeight="1" spans="8:8">
      <c r="H38" s="229"/>
    </row>
    <row r="39" ht="18" customHeight="1" spans="8:8">
      <c r="H39" s="229"/>
    </row>
    <row r="40" ht="18" customHeight="1" spans="8:8">
      <c r="H40" s="229"/>
    </row>
    <row r="41" ht="18" customHeight="1" spans="8:8">
      <c r="H41" s="229"/>
    </row>
    <row r="42" ht="18" customHeight="1" spans="8:8">
      <c r="H42" s="229"/>
    </row>
    <row r="43" ht="18" customHeight="1" spans="8:8">
      <c r="H43" s="229"/>
    </row>
    <row r="44" ht="18" customHeight="1" spans="8:8">
      <c r="H44" s="229"/>
    </row>
    <row r="45" ht="18" customHeight="1" spans="8:8">
      <c r="H45" s="229"/>
    </row>
    <row r="46" ht="18" customHeight="1" spans="8:8">
      <c r="H46" s="229"/>
    </row>
    <row r="47" ht="18" customHeight="1" spans="8:8">
      <c r="H47" s="229"/>
    </row>
    <row r="48" ht="18" customHeight="1" spans="8:8">
      <c r="H48" s="229"/>
    </row>
    <row r="49" ht="18" customHeight="1" spans="8:8">
      <c r="H49" s="229"/>
    </row>
  </sheetData>
  <hyperlinks>
    <hyperlink ref="A1" location="'目录'!C16" display="&lt;&lt;"/>
  </hyperlinks>
  <printOptions horizontalCentered="1"/>
  <pageMargins left="0.196850393700787" right="0.196850393700787" top="0.984251968503937" bottom="0.984251968503937" header="0.511811023622047" footer="0.511811023622047"/>
  <pageSetup paperSize="9" orientation="landscape" blackAndWhite="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J51"/>
  <sheetViews>
    <sheetView showGridLines="0" workbookViewId="0">
      <pane ySplit="4" topLeftCell="A5" activePane="bottomLeft" state="frozen"/>
      <selection/>
      <selection pane="bottomLeft" activeCell="B1" sqref="B1"/>
    </sheetView>
  </sheetViews>
  <sheetFormatPr defaultColWidth="9" defaultRowHeight="12.5"/>
  <cols>
    <col min="1" max="1" width="2.6" style="245" customWidth="1"/>
    <col min="2" max="2" width="16.9" style="245" customWidth="1"/>
    <col min="3" max="3" width="15.4" style="245" customWidth="1"/>
    <col min="4" max="4" width="7.9" style="245" customWidth="1"/>
    <col min="5" max="5" width="12.4" style="245" customWidth="1"/>
    <col min="6" max="6" width="9" style="245"/>
    <col min="7" max="7" width="10.1" style="245" customWidth="1"/>
    <col min="8" max="8" width="12.9" style="246" customWidth="1"/>
    <col min="9" max="9" width="12" style="246" customWidth="1"/>
    <col min="10" max="10" width="11.4" style="245" customWidth="1"/>
    <col min="11" max="16384" width="9" style="245"/>
  </cols>
  <sheetData>
    <row r="1" s="140" customFormat="1" ht="28.5" customHeight="1" spans="1:10">
      <c r="A1" s="65" t="s">
        <v>58</v>
      </c>
      <c r="B1" s="247" t="s">
        <v>50</v>
      </c>
      <c r="C1" s="248"/>
      <c r="D1" s="248"/>
      <c r="E1" s="248"/>
      <c r="F1" s="248"/>
      <c r="G1" s="248"/>
      <c r="H1" s="248"/>
      <c r="I1" s="250" t="s">
        <v>59</v>
      </c>
      <c r="J1" s="126" t="str">
        <f>目录!E17</f>
        <v>1010-11</v>
      </c>
    </row>
    <row r="2" s="140" customFormat="1" ht="26.1" customHeight="1" spans="2:10">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249"/>
      <c r="D2" s="250"/>
      <c r="E2" s="250"/>
      <c r="F2" s="250"/>
      <c r="G2" s="250"/>
      <c r="H2" s="251"/>
      <c r="I2" s="252"/>
      <c r="J2" s="128"/>
    </row>
    <row r="3" s="242" customFormat="1" ht="12" customHeight="1" spans="8:9">
      <c r="H3" s="252"/>
      <c r="I3" s="252"/>
    </row>
    <row r="4" ht="23.25" customHeight="1" spans="2:10">
      <c r="B4" s="253" t="s">
        <v>287</v>
      </c>
      <c r="C4" s="254" t="s">
        <v>394</v>
      </c>
      <c r="D4" s="255" t="s">
        <v>395</v>
      </c>
      <c r="E4" s="255" t="s">
        <v>436</v>
      </c>
      <c r="F4" s="255" t="s">
        <v>437</v>
      </c>
      <c r="G4" s="255" t="s">
        <v>438</v>
      </c>
      <c r="H4" s="256" t="s">
        <v>439</v>
      </c>
      <c r="I4" s="288" t="s">
        <v>440</v>
      </c>
      <c r="J4" s="289" t="s">
        <v>410</v>
      </c>
    </row>
    <row r="5" s="243" customFormat="1" ht="18" customHeight="1" spans="2:10">
      <c r="B5" s="257" t="s">
        <v>193</v>
      </c>
      <c r="C5" s="258"/>
      <c r="D5" s="259"/>
      <c r="E5" s="260"/>
      <c r="F5" s="260"/>
      <c r="G5" s="261"/>
      <c r="H5" s="262">
        <f>SUM(H6:H8)</f>
        <v>0</v>
      </c>
      <c r="I5" s="262">
        <f>SUM(I6:I8)</f>
        <v>0</v>
      </c>
      <c r="J5" s="290"/>
    </row>
    <row r="6" ht="18" customHeight="1" spans="2:10">
      <c r="B6" s="263"/>
      <c r="C6" s="264"/>
      <c r="D6" s="265"/>
      <c r="E6" s="166"/>
      <c r="F6" s="166"/>
      <c r="G6" s="266"/>
      <c r="H6" s="222">
        <f t="shared" ref="H6:H20" si="0">ROUND(F6*G6,2)</f>
        <v>0</v>
      </c>
      <c r="I6" s="291">
        <f>E6-H6</f>
        <v>0</v>
      </c>
      <c r="J6" s="292"/>
    </row>
    <row r="7" ht="18" customHeight="1" spans="2:10">
      <c r="B7" s="263"/>
      <c r="C7" s="264"/>
      <c r="D7" s="265"/>
      <c r="E7" s="166"/>
      <c r="F7" s="166"/>
      <c r="G7" s="266"/>
      <c r="H7" s="222">
        <f t="shared" si="0"/>
        <v>0</v>
      </c>
      <c r="I7" s="291">
        <f>E7-H7</f>
        <v>0</v>
      </c>
      <c r="J7" s="292"/>
    </row>
    <row r="8" ht="18" customHeight="1" spans="2:10">
      <c r="B8" s="263"/>
      <c r="C8" s="264"/>
      <c r="D8" s="265"/>
      <c r="E8" s="166"/>
      <c r="F8" s="166"/>
      <c r="G8" s="266"/>
      <c r="H8" s="222">
        <f t="shared" si="0"/>
        <v>0</v>
      </c>
      <c r="I8" s="291">
        <f>E8-H8</f>
        <v>0</v>
      </c>
      <c r="J8" s="292"/>
    </row>
    <row r="9" s="243" customFormat="1" ht="18" customHeight="1" spans="2:10">
      <c r="B9" s="257" t="s">
        <v>194</v>
      </c>
      <c r="C9" s="258"/>
      <c r="D9" s="259"/>
      <c r="E9" s="260"/>
      <c r="F9" s="260"/>
      <c r="G9" s="261"/>
      <c r="H9" s="262">
        <f>SUM(H10:H14)</f>
        <v>0</v>
      </c>
      <c r="I9" s="262">
        <f>SUM(I10:I14)</f>
        <v>0</v>
      </c>
      <c r="J9" s="290"/>
    </row>
    <row r="10" ht="18" customHeight="1" spans="2:10">
      <c r="B10" s="267"/>
      <c r="C10" s="268"/>
      <c r="D10" s="265"/>
      <c r="E10" s="166"/>
      <c r="F10" s="166"/>
      <c r="G10" s="266"/>
      <c r="H10" s="222">
        <f t="shared" si="0"/>
        <v>0</v>
      </c>
      <c r="I10" s="291">
        <f>E10-H10</f>
        <v>0</v>
      </c>
      <c r="J10" s="292"/>
    </row>
    <row r="11" ht="18" customHeight="1" spans="2:10">
      <c r="B11" s="267"/>
      <c r="C11" s="268"/>
      <c r="D11" s="265"/>
      <c r="E11" s="166"/>
      <c r="F11" s="166"/>
      <c r="G11" s="266"/>
      <c r="H11" s="222">
        <f t="shared" si="0"/>
        <v>0</v>
      </c>
      <c r="I11" s="291">
        <f>E11-H11</f>
        <v>0</v>
      </c>
      <c r="J11" s="292"/>
    </row>
    <row r="12" ht="18" customHeight="1" spans="2:10">
      <c r="B12" s="263"/>
      <c r="C12" s="264"/>
      <c r="D12" s="265"/>
      <c r="E12" s="166"/>
      <c r="F12" s="166"/>
      <c r="G12" s="266"/>
      <c r="H12" s="222">
        <f t="shared" si="0"/>
        <v>0</v>
      </c>
      <c r="I12" s="291">
        <f>E12-H12</f>
        <v>0</v>
      </c>
      <c r="J12" s="292"/>
    </row>
    <row r="13" ht="18" customHeight="1" spans="2:10">
      <c r="B13" s="263"/>
      <c r="C13" s="264"/>
      <c r="D13" s="265"/>
      <c r="E13" s="166"/>
      <c r="F13" s="166"/>
      <c r="G13" s="266"/>
      <c r="H13" s="222">
        <f t="shared" si="0"/>
        <v>0</v>
      </c>
      <c r="I13" s="291">
        <f>E13-H13</f>
        <v>0</v>
      </c>
      <c r="J13" s="292"/>
    </row>
    <row r="14" ht="18" customHeight="1" spans="2:10">
      <c r="B14" s="263"/>
      <c r="C14" s="264"/>
      <c r="D14" s="265"/>
      <c r="E14" s="166"/>
      <c r="F14" s="166"/>
      <c r="G14" s="266"/>
      <c r="H14" s="222">
        <f t="shared" si="0"/>
        <v>0</v>
      </c>
      <c r="I14" s="291">
        <f>E14-H14</f>
        <v>0</v>
      </c>
      <c r="J14" s="292"/>
    </row>
    <row r="15" s="243" customFormat="1" ht="18" customHeight="1" spans="2:10">
      <c r="B15" s="257" t="s">
        <v>195</v>
      </c>
      <c r="C15" s="258"/>
      <c r="D15" s="259"/>
      <c r="E15" s="260"/>
      <c r="F15" s="260"/>
      <c r="G15" s="261"/>
      <c r="H15" s="262">
        <f>SUM(H16:H20)</f>
        <v>0</v>
      </c>
      <c r="I15" s="262">
        <f>SUM(I16:I20)</f>
        <v>0</v>
      </c>
      <c r="J15" s="290"/>
    </row>
    <row r="16" ht="18" customHeight="1" spans="2:10">
      <c r="B16" s="263"/>
      <c r="C16" s="264"/>
      <c r="D16" s="265"/>
      <c r="E16" s="166"/>
      <c r="F16" s="166"/>
      <c r="G16" s="266"/>
      <c r="H16" s="222">
        <f t="shared" si="0"/>
        <v>0</v>
      </c>
      <c r="I16" s="291">
        <f>E16-H16</f>
        <v>0</v>
      </c>
      <c r="J16" s="292"/>
    </row>
    <row r="17" ht="18" customHeight="1" spans="2:10">
      <c r="B17" s="263"/>
      <c r="C17" s="264"/>
      <c r="D17" s="265"/>
      <c r="E17" s="166"/>
      <c r="F17" s="166"/>
      <c r="G17" s="266"/>
      <c r="H17" s="222">
        <f t="shared" si="0"/>
        <v>0</v>
      </c>
      <c r="I17" s="291">
        <f>E17-H17</f>
        <v>0</v>
      </c>
      <c r="J17" s="292"/>
    </row>
    <row r="18" ht="18" customHeight="1" spans="2:10">
      <c r="B18" s="263"/>
      <c r="C18" s="264"/>
      <c r="D18" s="265"/>
      <c r="E18" s="166"/>
      <c r="F18" s="166"/>
      <c r="G18" s="266"/>
      <c r="H18" s="222">
        <f t="shared" si="0"/>
        <v>0</v>
      </c>
      <c r="I18" s="291">
        <f>E18-H18</f>
        <v>0</v>
      </c>
      <c r="J18" s="292"/>
    </row>
    <row r="19" ht="18" customHeight="1" spans="2:10">
      <c r="B19" s="263"/>
      <c r="C19" s="264"/>
      <c r="D19" s="265"/>
      <c r="E19" s="166"/>
      <c r="F19" s="166"/>
      <c r="G19" s="266"/>
      <c r="H19" s="222">
        <f t="shared" si="0"/>
        <v>0</v>
      </c>
      <c r="I19" s="291">
        <f>E19-H19</f>
        <v>0</v>
      </c>
      <c r="J19" s="292"/>
    </row>
    <row r="20" ht="18" customHeight="1" spans="2:10">
      <c r="B20" s="263"/>
      <c r="C20" s="264"/>
      <c r="D20" s="265"/>
      <c r="E20" s="166"/>
      <c r="F20" s="166"/>
      <c r="G20" s="266"/>
      <c r="H20" s="222">
        <f t="shared" si="0"/>
        <v>0</v>
      </c>
      <c r="I20" s="291">
        <f>E20-H20</f>
        <v>0</v>
      </c>
      <c r="J20" s="292"/>
    </row>
    <row r="21" ht="18" customHeight="1" spans="2:10">
      <c r="B21" s="269" t="s">
        <v>196</v>
      </c>
      <c r="C21" s="270"/>
      <c r="D21" s="270"/>
      <c r="E21" s="270"/>
      <c r="F21" s="270"/>
      <c r="G21" s="271"/>
      <c r="H21" s="227">
        <f>H15+H9+H5</f>
        <v>0</v>
      </c>
      <c r="I21" s="227">
        <f>I15+I9+I5</f>
        <v>0</v>
      </c>
      <c r="J21" s="293"/>
    </row>
    <row r="22" customFormat="1" ht="18" customHeight="1" spans="1:10">
      <c r="A22" s="245"/>
      <c r="B22" s="245"/>
      <c r="C22" s="245"/>
      <c r="D22" s="245"/>
      <c r="E22" s="245"/>
      <c r="F22" s="245"/>
      <c r="G22" s="245"/>
      <c r="H22" s="272"/>
      <c r="I22" s="272"/>
      <c r="J22" s="245"/>
    </row>
    <row r="23" customFormat="1" ht="18" customHeight="1" spans="1:10">
      <c r="A23" s="245"/>
      <c r="B23" s="245"/>
      <c r="C23" s="245"/>
      <c r="D23" s="245"/>
      <c r="E23" s="245"/>
      <c r="F23" s="245"/>
      <c r="G23" s="245"/>
      <c r="H23" s="272"/>
      <c r="I23" s="272"/>
      <c r="J23" s="245"/>
    </row>
    <row r="24" customFormat="1" ht="18" customHeight="1" spans="2:10">
      <c r="B24" s="273" t="s">
        <v>198</v>
      </c>
      <c r="C24" s="274"/>
      <c r="D24" s="274"/>
      <c r="E24" s="274"/>
      <c r="F24" s="274"/>
      <c r="G24" s="274"/>
      <c r="H24" s="275"/>
      <c r="I24" s="275"/>
      <c r="J24" s="294"/>
    </row>
    <row r="25" ht="18" customHeight="1" spans="2:10">
      <c r="B25" s="276"/>
      <c r="C25" s="277"/>
      <c r="D25" s="278"/>
      <c r="E25" s="278"/>
      <c r="F25" s="278"/>
      <c r="G25" s="278"/>
      <c r="H25" s="279"/>
      <c r="I25" s="279"/>
      <c r="J25" s="295"/>
    </row>
    <row r="26" ht="18" customHeight="1" spans="2:10">
      <c r="B26" s="280"/>
      <c r="C26" s="243"/>
      <c r="D26" s="281"/>
      <c r="E26" s="281"/>
      <c r="F26" s="281"/>
      <c r="G26" s="281"/>
      <c r="H26" s="282"/>
      <c r="I26" s="282"/>
      <c r="J26" s="296"/>
    </row>
    <row r="27" ht="18" customHeight="1" spans="2:10">
      <c r="B27" s="283"/>
      <c r="C27" s="284"/>
      <c r="D27" s="284"/>
      <c r="E27" s="284"/>
      <c r="F27" s="284"/>
      <c r="G27" s="284"/>
      <c r="H27" s="285"/>
      <c r="I27" s="285"/>
      <c r="J27" s="297"/>
    </row>
    <row r="28" ht="18" customHeight="1" spans="8:9">
      <c r="H28" s="272"/>
      <c r="I28" s="272"/>
    </row>
    <row r="29" s="244" customFormat="1" ht="18" customHeight="1" spans="2:10">
      <c r="B29" s="286" t="s">
        <v>419</v>
      </c>
      <c r="C29" s="286"/>
      <c r="D29" s="286"/>
      <c r="E29" s="286"/>
      <c r="F29" s="286"/>
      <c r="G29" s="286"/>
      <c r="H29" s="286"/>
      <c r="I29" s="286"/>
      <c r="J29" s="286"/>
    </row>
    <row r="30" s="244" customFormat="1" ht="18" customHeight="1" spans="2:9">
      <c r="B30" s="244" t="s">
        <v>441</v>
      </c>
      <c r="H30" s="287"/>
      <c r="I30" s="287"/>
    </row>
    <row r="31" ht="18" customHeight="1" spans="8:9">
      <c r="H31" s="272"/>
      <c r="I31" s="272"/>
    </row>
    <row r="32" ht="18" customHeight="1" spans="8:9">
      <c r="H32" s="272"/>
      <c r="I32" s="272"/>
    </row>
    <row r="33" ht="18" customHeight="1" spans="8:9">
      <c r="H33" s="272"/>
      <c r="I33" s="272"/>
    </row>
    <row r="34" ht="18" customHeight="1" spans="8:9">
      <c r="H34" s="272"/>
      <c r="I34" s="272"/>
    </row>
    <row r="35" ht="18" customHeight="1" spans="8:9">
      <c r="H35" s="272"/>
      <c r="I35" s="272"/>
    </row>
    <row r="36" ht="18" customHeight="1" spans="8:9">
      <c r="H36" s="272"/>
      <c r="I36" s="272"/>
    </row>
    <row r="37" ht="18" customHeight="1" spans="8:9">
      <c r="H37" s="272"/>
      <c r="I37" s="272"/>
    </row>
    <row r="38" ht="18" customHeight="1" spans="8:9">
      <c r="H38" s="272"/>
      <c r="I38" s="272"/>
    </row>
    <row r="39" ht="18" customHeight="1" spans="8:9">
      <c r="H39" s="272"/>
      <c r="I39" s="272"/>
    </row>
    <row r="40" ht="18" customHeight="1" spans="8:9">
      <c r="H40" s="272"/>
      <c r="I40" s="272"/>
    </row>
    <row r="41" ht="18" customHeight="1" spans="8:9">
      <c r="H41" s="272"/>
      <c r="I41" s="272"/>
    </row>
    <row r="42" ht="18" customHeight="1" spans="8:9">
      <c r="H42" s="272"/>
      <c r="I42" s="272"/>
    </row>
    <row r="43" ht="18" customHeight="1" spans="8:9">
      <c r="H43" s="272"/>
      <c r="I43" s="272"/>
    </row>
    <row r="44" ht="18" customHeight="1" spans="8:9">
      <c r="H44" s="272"/>
      <c r="I44" s="272"/>
    </row>
    <row r="45" ht="18" customHeight="1" spans="8:9">
      <c r="H45" s="272"/>
      <c r="I45" s="272"/>
    </row>
    <row r="46" ht="18" customHeight="1" spans="8:9">
      <c r="H46" s="272"/>
      <c r="I46" s="272"/>
    </row>
    <row r="47" ht="18" customHeight="1" spans="8:9">
      <c r="H47" s="272"/>
      <c r="I47" s="272"/>
    </row>
    <row r="48" ht="18" customHeight="1" spans="8:9">
      <c r="H48" s="272"/>
      <c r="I48" s="272"/>
    </row>
    <row r="49" ht="18" customHeight="1" spans="8:9">
      <c r="H49" s="272"/>
      <c r="I49" s="272"/>
    </row>
    <row r="50" ht="18" customHeight="1" spans="8:9">
      <c r="H50" s="272"/>
      <c r="I50" s="272"/>
    </row>
    <row r="51" ht="18" customHeight="1" spans="8:9">
      <c r="H51" s="272"/>
      <c r="I51" s="272"/>
    </row>
  </sheetData>
  <mergeCells count="1">
    <mergeCell ref="B21:G21"/>
  </mergeCells>
  <hyperlinks>
    <hyperlink ref="A1" location="'目录'!C17" display="&lt;&lt;"/>
  </hyperlinks>
  <printOptions horizontalCentered="1"/>
  <pageMargins left="0.196850393700787" right="0.196850393700787" top="0.78740157480315" bottom="0.78740157480315" header="0.511811023622047" footer="0.511811023622047"/>
  <pageSetup paperSize="9" scale="90" orientation="landscape" blackAndWhite="1"/>
  <headerFooter alignWithMargins="0"/>
  <ignoredErrors>
    <ignoredError sqref="I9 I15 H9:H15" formula="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O74"/>
  <sheetViews>
    <sheetView showGridLines="0" zoomScale="93" zoomScaleNormal="93" zoomScaleSheetLayoutView="81" workbookViewId="0">
      <pane ySplit="5" topLeftCell="A49" activePane="bottomLeft" state="frozen"/>
      <selection/>
      <selection pane="bottomLeft" activeCell="B58" sqref="B58"/>
    </sheetView>
  </sheetViews>
  <sheetFormatPr defaultColWidth="9" defaultRowHeight="13"/>
  <cols>
    <col min="1" max="1" width="2.6" style="143" customWidth="1"/>
    <col min="2" max="2" width="5.1" style="143" customWidth="1"/>
    <col min="3" max="3" width="9.6" style="143" customWidth="1"/>
    <col min="4" max="4" width="19.4" style="144" customWidth="1"/>
    <col min="5" max="5" width="18.4416666666667" style="144" customWidth="1"/>
    <col min="6" max="6" width="9.6" style="143"/>
    <col min="7" max="7" width="14.1333333333333" style="143" customWidth="1"/>
    <col min="8" max="8" width="20.5" style="144" customWidth="1"/>
    <col min="9" max="9" width="16.6" style="145" customWidth="1"/>
    <col min="10" max="10" width="12" style="145" customWidth="1"/>
    <col min="11" max="11" width="14.9833333333333" style="145" customWidth="1"/>
    <col min="12" max="12" width="14" style="145" customWidth="1"/>
    <col min="13" max="13" width="13.4" style="145" customWidth="1"/>
    <col min="14" max="14" width="10.1" style="143" customWidth="1"/>
    <col min="15" max="15" width="8.6" style="143" customWidth="1"/>
    <col min="16" max="16384" width="9" style="143"/>
  </cols>
  <sheetData>
    <row r="1" s="140" customFormat="1" ht="28.5" customHeight="1" spans="1:15">
      <c r="A1" s="65" t="s">
        <v>58</v>
      </c>
      <c r="B1" s="146" t="s">
        <v>52</v>
      </c>
      <c r="C1" s="147"/>
      <c r="D1" s="148"/>
      <c r="E1" s="148"/>
      <c r="F1" s="147"/>
      <c r="G1" s="147"/>
      <c r="H1" s="148"/>
      <c r="I1" s="147"/>
      <c r="J1" s="147"/>
      <c r="K1" s="147"/>
      <c r="L1" s="147"/>
      <c r="M1" s="147"/>
      <c r="N1" s="150" t="s">
        <v>59</v>
      </c>
      <c r="O1" s="126" t="str">
        <f>目录!E18</f>
        <v>1010-12</v>
      </c>
    </row>
    <row r="2" s="140" customFormat="1" ht="26.1" customHeight="1" spans="2:13">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149"/>
      <c r="E2" s="149"/>
      <c r="F2" s="150"/>
      <c r="G2" s="150"/>
      <c r="H2" s="151"/>
      <c r="I2" s="210"/>
      <c r="J2" s="211"/>
      <c r="K2" s="211"/>
      <c r="L2" s="150"/>
      <c r="M2" s="128"/>
    </row>
    <row r="3" s="140" customFormat="1" ht="12" customHeight="1" spans="2:13">
      <c r="B3" s="93"/>
      <c r="C3" s="93"/>
      <c r="D3" s="152"/>
      <c r="E3" s="152"/>
      <c r="F3" s="153"/>
      <c r="G3" s="153"/>
      <c r="H3" s="152"/>
      <c r="I3" s="153"/>
      <c r="J3" s="153"/>
      <c r="K3" s="153"/>
      <c r="L3" s="153"/>
      <c r="M3" s="153"/>
    </row>
    <row r="4" ht="21" customHeight="1" spans="2:14">
      <c r="B4" s="154" t="s">
        <v>442</v>
      </c>
      <c r="C4" s="154"/>
      <c r="D4" s="155"/>
      <c r="E4" s="155"/>
      <c r="F4" s="156"/>
      <c r="G4" s="156"/>
      <c r="H4" s="155"/>
      <c r="I4" s="156"/>
      <c r="J4" s="156"/>
      <c r="K4" s="156"/>
      <c r="L4" s="156"/>
      <c r="M4" s="156"/>
      <c r="N4" s="212"/>
    </row>
    <row r="5" s="141" customFormat="1" ht="24.9" customHeight="1" spans="2:15">
      <c r="B5" s="157" t="s">
        <v>79</v>
      </c>
      <c r="C5" s="158" t="s">
        <v>223</v>
      </c>
      <c r="D5" s="159" t="s">
        <v>349</v>
      </c>
      <c r="E5" s="159" t="s">
        <v>326</v>
      </c>
      <c r="F5" s="160" t="s">
        <v>443</v>
      </c>
      <c r="G5" s="160" t="s">
        <v>444</v>
      </c>
      <c r="H5" s="161" t="s">
        <v>445</v>
      </c>
      <c r="I5" s="213" t="s">
        <v>446</v>
      </c>
      <c r="J5" s="213" t="s">
        <v>447</v>
      </c>
      <c r="K5" s="213" t="s">
        <v>448</v>
      </c>
      <c r="L5" s="213" t="s">
        <v>449</v>
      </c>
      <c r="M5" s="213" t="s">
        <v>450</v>
      </c>
      <c r="N5" s="213" t="s">
        <v>451</v>
      </c>
      <c r="O5" s="214" t="s">
        <v>182</v>
      </c>
    </row>
    <row r="6" ht="18" customHeight="1" spans="2:15">
      <c r="B6" s="162" t="s">
        <v>452</v>
      </c>
      <c r="C6" s="163"/>
      <c r="D6" s="164"/>
      <c r="E6" s="164"/>
      <c r="F6" s="165"/>
      <c r="G6" s="166"/>
      <c r="H6" s="164"/>
      <c r="I6" s="215"/>
      <c r="J6" s="216"/>
      <c r="K6" s="217"/>
      <c r="L6" s="215"/>
      <c r="M6" s="218"/>
      <c r="N6" s="219"/>
      <c r="O6" s="220"/>
    </row>
    <row r="7" ht="39" spans="2:15">
      <c r="B7" s="167">
        <v>1</v>
      </c>
      <c r="C7" s="168" t="s">
        <v>11</v>
      </c>
      <c r="D7" s="169" t="s">
        <v>255</v>
      </c>
      <c r="E7" s="164" t="s">
        <v>256</v>
      </c>
      <c r="F7" s="165" t="s">
        <v>453</v>
      </c>
      <c r="G7" s="166" t="s">
        <v>454</v>
      </c>
      <c r="H7" s="170" t="s">
        <v>455</v>
      </c>
      <c r="I7" s="219">
        <v>52966.74</v>
      </c>
      <c r="J7" s="216" t="s">
        <v>453</v>
      </c>
      <c r="K7" s="221" t="s">
        <v>456</v>
      </c>
      <c r="L7" s="219">
        <v>52966.74</v>
      </c>
      <c r="M7" s="222">
        <f t="shared" ref="M7:M17" si="0">I7-L7</f>
        <v>0</v>
      </c>
      <c r="N7" s="219"/>
      <c r="O7" s="220"/>
    </row>
    <row r="8" ht="26" spans="2:15">
      <c r="B8" s="167">
        <v>2</v>
      </c>
      <c r="C8" s="168" t="s">
        <v>11</v>
      </c>
      <c r="D8" s="169" t="s">
        <v>255</v>
      </c>
      <c r="E8" s="164" t="s">
        <v>256</v>
      </c>
      <c r="F8" s="165" t="s">
        <v>457</v>
      </c>
      <c r="G8" s="166" t="s">
        <v>458</v>
      </c>
      <c r="H8" s="171" t="s">
        <v>459</v>
      </c>
      <c r="I8" s="219">
        <v>330000</v>
      </c>
      <c r="J8" s="216" t="s">
        <v>457</v>
      </c>
      <c r="K8" s="221" t="s">
        <v>460</v>
      </c>
      <c r="L8" s="219">
        <v>330000</v>
      </c>
      <c r="M8" s="222">
        <f t="shared" si="0"/>
        <v>0</v>
      </c>
      <c r="N8" s="219"/>
      <c r="O8" s="220"/>
    </row>
    <row r="9" ht="39" spans="2:15">
      <c r="B9" s="167">
        <v>3</v>
      </c>
      <c r="C9" s="172" t="s">
        <v>11</v>
      </c>
      <c r="D9" s="173" t="s">
        <v>255</v>
      </c>
      <c r="E9" s="174" t="s">
        <v>256</v>
      </c>
      <c r="F9" s="175" t="s">
        <v>461</v>
      </c>
      <c r="G9" s="176" t="s">
        <v>462</v>
      </c>
      <c r="H9" s="177" t="s">
        <v>463</v>
      </c>
      <c r="I9" s="219">
        <v>124000</v>
      </c>
      <c r="J9" s="223">
        <v>45547</v>
      </c>
      <c r="K9" s="221" t="s">
        <v>464</v>
      </c>
      <c r="L9" s="219">
        <v>124000</v>
      </c>
      <c r="M9" s="222">
        <f t="shared" si="0"/>
        <v>0</v>
      </c>
      <c r="N9" s="219"/>
      <c r="O9" s="220"/>
    </row>
    <row r="10" ht="26" spans="2:15">
      <c r="B10" s="167">
        <v>4</v>
      </c>
      <c r="C10" s="178" t="s">
        <v>11</v>
      </c>
      <c r="D10" s="169" t="s">
        <v>255</v>
      </c>
      <c r="E10" s="164" t="s">
        <v>256</v>
      </c>
      <c r="F10" s="165" t="s">
        <v>465</v>
      </c>
      <c r="G10" s="166" t="s">
        <v>466</v>
      </c>
      <c r="H10" s="171" t="s">
        <v>459</v>
      </c>
      <c r="I10" s="219">
        <v>200000</v>
      </c>
      <c r="J10" s="216" t="s">
        <v>465</v>
      </c>
      <c r="K10" s="221" t="s">
        <v>467</v>
      </c>
      <c r="L10" s="219">
        <v>200000</v>
      </c>
      <c r="M10" s="222">
        <f t="shared" si="0"/>
        <v>0</v>
      </c>
      <c r="N10" s="219"/>
      <c r="O10" s="220"/>
    </row>
    <row r="11" ht="26" spans="2:15">
      <c r="B11" s="167">
        <v>5</v>
      </c>
      <c r="C11" s="168" t="s">
        <v>11</v>
      </c>
      <c r="D11" s="169" t="s">
        <v>255</v>
      </c>
      <c r="E11" s="164" t="s">
        <v>256</v>
      </c>
      <c r="F11" s="165" t="s">
        <v>468</v>
      </c>
      <c r="G11" s="166" t="s">
        <v>469</v>
      </c>
      <c r="H11" s="171" t="s">
        <v>470</v>
      </c>
      <c r="I11" s="219">
        <v>2100000</v>
      </c>
      <c r="J11" s="216" t="s">
        <v>468</v>
      </c>
      <c r="K11" s="221" t="s">
        <v>467</v>
      </c>
      <c r="L11" s="219">
        <v>2100000</v>
      </c>
      <c r="M11" s="222">
        <f t="shared" si="0"/>
        <v>0</v>
      </c>
      <c r="N11" s="219"/>
      <c r="O11" s="220"/>
    </row>
    <row r="12" spans="2:15">
      <c r="B12" s="167">
        <v>6</v>
      </c>
      <c r="C12" s="168"/>
      <c r="D12" s="169"/>
      <c r="E12" s="164"/>
      <c r="F12" s="165"/>
      <c r="G12" s="166"/>
      <c r="H12" s="171"/>
      <c r="I12" s="219"/>
      <c r="J12" s="216"/>
      <c r="K12" s="221"/>
      <c r="L12" s="219"/>
      <c r="M12" s="222">
        <f t="shared" si="0"/>
        <v>0</v>
      </c>
      <c r="N12" s="219"/>
      <c r="O12" s="220"/>
    </row>
    <row r="13" spans="2:15">
      <c r="B13" s="167">
        <v>7</v>
      </c>
      <c r="C13" s="168"/>
      <c r="D13" s="169"/>
      <c r="E13" s="164"/>
      <c r="F13" s="165"/>
      <c r="G13" s="166"/>
      <c r="H13" s="171"/>
      <c r="I13" s="219"/>
      <c r="J13" s="216"/>
      <c r="K13" s="221"/>
      <c r="L13" s="219"/>
      <c r="M13" s="222">
        <f t="shared" si="0"/>
        <v>0</v>
      </c>
      <c r="N13" s="219"/>
      <c r="O13" s="220"/>
    </row>
    <row r="14" spans="2:15">
      <c r="B14" s="167">
        <v>8</v>
      </c>
      <c r="C14" s="168"/>
      <c r="D14" s="169"/>
      <c r="E14" s="164"/>
      <c r="F14" s="165"/>
      <c r="G14" s="166"/>
      <c r="H14" s="171"/>
      <c r="I14" s="219"/>
      <c r="J14" s="216"/>
      <c r="K14" s="221"/>
      <c r="L14" s="219"/>
      <c r="M14" s="222">
        <f t="shared" si="0"/>
        <v>0</v>
      </c>
      <c r="N14" s="219"/>
      <c r="O14" s="220"/>
    </row>
    <row r="15" spans="2:15">
      <c r="B15" s="167">
        <v>9</v>
      </c>
      <c r="C15" s="168"/>
      <c r="D15" s="169"/>
      <c r="E15" s="164"/>
      <c r="F15" s="165"/>
      <c r="G15" s="166"/>
      <c r="H15" s="171"/>
      <c r="I15" s="219"/>
      <c r="J15" s="216"/>
      <c r="K15" s="221"/>
      <c r="L15" s="219"/>
      <c r="M15" s="222">
        <f t="shared" si="0"/>
        <v>0</v>
      </c>
      <c r="N15" s="219"/>
      <c r="O15" s="220"/>
    </row>
    <row r="16" spans="2:15">
      <c r="B16" s="167">
        <v>10</v>
      </c>
      <c r="C16" s="168"/>
      <c r="D16" s="169"/>
      <c r="E16" s="164"/>
      <c r="F16" s="165"/>
      <c r="G16" s="166"/>
      <c r="H16" s="171"/>
      <c r="I16" s="219"/>
      <c r="J16" s="216"/>
      <c r="K16" s="221"/>
      <c r="L16" s="219"/>
      <c r="M16" s="222">
        <f t="shared" si="0"/>
        <v>0</v>
      </c>
      <c r="N16" s="219"/>
      <c r="O16" s="220"/>
    </row>
    <row r="17" spans="2:15">
      <c r="B17" s="167"/>
      <c r="C17" s="168"/>
      <c r="D17" s="169"/>
      <c r="E17" s="164"/>
      <c r="F17" s="165"/>
      <c r="G17" s="166"/>
      <c r="H17" s="171"/>
      <c r="I17" s="219"/>
      <c r="J17" s="216"/>
      <c r="K17" s="221"/>
      <c r="L17" s="219"/>
      <c r="M17" s="222">
        <f t="shared" si="0"/>
        <v>0</v>
      </c>
      <c r="N17" s="219"/>
      <c r="O17" s="220"/>
    </row>
    <row r="18" spans="2:15">
      <c r="B18" s="162" t="s">
        <v>471</v>
      </c>
      <c r="C18" s="163"/>
      <c r="D18" s="164"/>
      <c r="E18" s="164"/>
      <c r="F18" s="165"/>
      <c r="G18" s="166"/>
      <c r="H18" s="164"/>
      <c r="I18" s="215"/>
      <c r="J18" s="216"/>
      <c r="K18" s="221"/>
      <c r="L18" s="215"/>
      <c r="M18" s="219"/>
      <c r="N18" s="219"/>
      <c r="O18" s="220"/>
    </row>
    <row r="19" ht="39" spans="2:15">
      <c r="B19" s="167">
        <v>1</v>
      </c>
      <c r="C19" s="168" t="s">
        <v>11</v>
      </c>
      <c r="D19" s="169" t="s">
        <v>255</v>
      </c>
      <c r="E19" s="164" t="s">
        <v>256</v>
      </c>
      <c r="F19" s="165" t="s">
        <v>472</v>
      </c>
      <c r="G19" s="166" t="s">
        <v>473</v>
      </c>
      <c r="H19" s="171" t="s">
        <v>474</v>
      </c>
      <c r="I19" s="219">
        <v>90000</v>
      </c>
      <c r="J19" s="216" t="s">
        <v>472</v>
      </c>
      <c r="K19" s="221" t="s">
        <v>464</v>
      </c>
      <c r="L19" s="219">
        <v>90000</v>
      </c>
      <c r="M19" s="222">
        <f t="shared" ref="M19:M29" si="1">I19-L19</f>
        <v>0</v>
      </c>
      <c r="N19" s="219"/>
      <c r="O19" s="220"/>
    </row>
    <row r="20" ht="39" spans="2:15">
      <c r="B20" s="167">
        <v>2</v>
      </c>
      <c r="C20" s="168" t="s">
        <v>11</v>
      </c>
      <c r="D20" s="169" t="s">
        <v>255</v>
      </c>
      <c r="E20" s="164" t="s">
        <v>256</v>
      </c>
      <c r="F20" s="165" t="s">
        <v>475</v>
      </c>
      <c r="G20" s="166" t="s">
        <v>476</v>
      </c>
      <c r="H20" s="171" t="s">
        <v>474</v>
      </c>
      <c r="I20" s="219">
        <v>30000</v>
      </c>
      <c r="J20" s="216" t="s">
        <v>475</v>
      </c>
      <c r="K20" s="221" t="s">
        <v>464</v>
      </c>
      <c r="L20" s="219">
        <v>30000</v>
      </c>
      <c r="M20" s="222">
        <f t="shared" si="1"/>
        <v>0</v>
      </c>
      <c r="N20" s="219"/>
      <c r="O20" s="220"/>
    </row>
    <row r="21" ht="39" spans="2:15">
      <c r="B21" s="167">
        <v>3</v>
      </c>
      <c r="C21" s="168" t="s">
        <v>11</v>
      </c>
      <c r="D21" s="169" t="s">
        <v>255</v>
      </c>
      <c r="E21" s="164" t="s">
        <v>256</v>
      </c>
      <c r="F21" s="165" t="s">
        <v>475</v>
      </c>
      <c r="G21" s="166" t="s">
        <v>477</v>
      </c>
      <c r="H21" s="171" t="s">
        <v>478</v>
      </c>
      <c r="I21" s="219">
        <v>30000</v>
      </c>
      <c r="J21" s="216" t="s">
        <v>475</v>
      </c>
      <c r="K21" s="221" t="s">
        <v>479</v>
      </c>
      <c r="L21" s="219">
        <v>30000</v>
      </c>
      <c r="M21" s="222">
        <f t="shared" si="1"/>
        <v>0</v>
      </c>
      <c r="N21" s="219"/>
      <c r="O21" s="220"/>
    </row>
    <row r="22" ht="39" spans="2:15">
      <c r="B22" s="167">
        <v>4</v>
      </c>
      <c r="C22" s="168" t="s">
        <v>11</v>
      </c>
      <c r="D22" s="169" t="s">
        <v>255</v>
      </c>
      <c r="E22" s="164" t="s">
        <v>256</v>
      </c>
      <c r="F22" s="165" t="s">
        <v>480</v>
      </c>
      <c r="G22" s="166" t="s">
        <v>481</v>
      </c>
      <c r="H22" s="171" t="s">
        <v>474</v>
      </c>
      <c r="I22" s="219">
        <v>40000</v>
      </c>
      <c r="J22" s="165" t="s">
        <v>480</v>
      </c>
      <c r="K22" s="221" t="s">
        <v>464</v>
      </c>
      <c r="L22" s="219">
        <v>40000</v>
      </c>
      <c r="M22" s="222">
        <f t="shared" si="1"/>
        <v>0</v>
      </c>
      <c r="N22" s="219"/>
      <c r="O22" s="220"/>
    </row>
    <row r="23" ht="39" spans="2:15">
      <c r="B23" s="167">
        <v>5</v>
      </c>
      <c r="C23" s="168" t="s">
        <v>11</v>
      </c>
      <c r="D23" s="169" t="s">
        <v>255</v>
      </c>
      <c r="E23" s="164" t="s">
        <v>256</v>
      </c>
      <c r="F23" s="165" t="s">
        <v>482</v>
      </c>
      <c r="G23" s="166" t="s">
        <v>483</v>
      </c>
      <c r="H23" s="171" t="s">
        <v>484</v>
      </c>
      <c r="I23" s="219">
        <v>37857.14</v>
      </c>
      <c r="J23" s="216" t="s">
        <v>482</v>
      </c>
      <c r="K23" s="221" t="s">
        <v>479</v>
      </c>
      <c r="L23" s="219">
        <v>37857.14</v>
      </c>
      <c r="M23" s="222">
        <f t="shared" si="1"/>
        <v>0</v>
      </c>
      <c r="N23" s="219"/>
      <c r="O23" s="220"/>
    </row>
    <row r="24" ht="18" customHeight="1" spans="2:15">
      <c r="B24" s="167">
        <v>6</v>
      </c>
      <c r="C24" s="168"/>
      <c r="D24" s="169"/>
      <c r="E24" s="164"/>
      <c r="F24" s="165"/>
      <c r="G24" s="166"/>
      <c r="H24" s="171"/>
      <c r="I24" s="219"/>
      <c r="J24" s="216"/>
      <c r="K24" s="217"/>
      <c r="L24" s="219"/>
      <c r="M24" s="222">
        <f t="shared" si="1"/>
        <v>0</v>
      </c>
      <c r="N24" s="219"/>
      <c r="O24" s="220"/>
    </row>
    <row r="25" ht="18" customHeight="1" spans="2:15">
      <c r="B25" s="167">
        <v>7</v>
      </c>
      <c r="C25" s="168"/>
      <c r="D25" s="169"/>
      <c r="E25" s="164"/>
      <c r="F25" s="165"/>
      <c r="G25" s="166"/>
      <c r="H25" s="171"/>
      <c r="I25" s="219"/>
      <c r="J25" s="216"/>
      <c r="K25" s="217"/>
      <c r="L25" s="219"/>
      <c r="M25" s="222">
        <f t="shared" si="1"/>
        <v>0</v>
      </c>
      <c r="N25" s="219"/>
      <c r="O25" s="220"/>
    </row>
    <row r="26" ht="18" customHeight="1" spans="2:15">
      <c r="B26" s="167">
        <v>8</v>
      </c>
      <c r="C26" s="168"/>
      <c r="D26" s="169"/>
      <c r="E26" s="164"/>
      <c r="F26" s="165"/>
      <c r="G26" s="166"/>
      <c r="H26" s="171"/>
      <c r="I26" s="219"/>
      <c r="J26" s="216"/>
      <c r="K26" s="217"/>
      <c r="L26" s="219"/>
      <c r="M26" s="222">
        <f t="shared" si="1"/>
        <v>0</v>
      </c>
      <c r="N26" s="219"/>
      <c r="O26" s="220"/>
    </row>
    <row r="27" ht="18" customHeight="1" spans="2:15">
      <c r="B27" s="167">
        <v>9</v>
      </c>
      <c r="C27" s="168"/>
      <c r="D27" s="169"/>
      <c r="E27" s="164"/>
      <c r="F27" s="165"/>
      <c r="G27" s="166"/>
      <c r="H27" s="171"/>
      <c r="I27" s="219"/>
      <c r="J27" s="216"/>
      <c r="K27" s="217"/>
      <c r="L27" s="219"/>
      <c r="M27" s="222">
        <f t="shared" si="1"/>
        <v>0</v>
      </c>
      <c r="N27" s="219"/>
      <c r="O27" s="220"/>
    </row>
    <row r="28" ht="18" customHeight="1" spans="2:15">
      <c r="B28" s="167">
        <v>10</v>
      </c>
      <c r="C28" s="168"/>
      <c r="D28" s="169"/>
      <c r="E28" s="164"/>
      <c r="F28" s="165"/>
      <c r="G28" s="166"/>
      <c r="H28" s="171"/>
      <c r="I28" s="219"/>
      <c r="J28" s="216"/>
      <c r="K28" s="217"/>
      <c r="L28" s="219"/>
      <c r="M28" s="222">
        <f t="shared" si="1"/>
        <v>0</v>
      </c>
      <c r="N28" s="219"/>
      <c r="O28" s="220"/>
    </row>
    <row r="29" ht="18" customHeight="1" spans="2:15">
      <c r="B29" s="179"/>
      <c r="C29" s="180"/>
      <c r="D29" s="181"/>
      <c r="E29" s="182"/>
      <c r="F29" s="183"/>
      <c r="G29" s="184"/>
      <c r="H29" s="185"/>
      <c r="I29" s="224"/>
      <c r="J29" s="225"/>
      <c r="K29" s="226"/>
      <c r="L29" s="224"/>
      <c r="M29" s="227">
        <f t="shared" si="1"/>
        <v>0</v>
      </c>
      <c r="N29" s="224"/>
      <c r="O29" s="228"/>
    </row>
    <row r="30" ht="18" customHeight="1" spans="2:15">
      <c r="B30" s="186"/>
      <c r="C30" s="186"/>
      <c r="D30" s="187"/>
      <c r="E30" s="188"/>
      <c r="F30" s="189"/>
      <c r="G30" s="186"/>
      <c r="H30" s="190"/>
      <c r="I30" s="229"/>
      <c r="J30" s="230"/>
      <c r="K30" s="230"/>
      <c r="L30" s="229"/>
      <c r="M30" s="229"/>
      <c r="N30" s="229"/>
      <c r="O30" s="229"/>
    </row>
    <row r="31" ht="18" customHeight="1" spans="2:15">
      <c r="B31" s="191" t="s">
        <v>485</v>
      </c>
      <c r="C31" s="191"/>
      <c r="D31" s="192"/>
      <c r="E31" s="192"/>
      <c r="F31" s="193"/>
      <c r="G31" s="193"/>
      <c r="H31" s="192"/>
      <c r="I31" s="193"/>
      <c r="J31" s="229"/>
      <c r="K31" s="229"/>
      <c r="L31" s="229"/>
      <c r="M31" s="229"/>
      <c r="N31" s="229"/>
      <c r="O31" s="193"/>
    </row>
    <row r="32" s="141" customFormat="1" ht="18" customHeight="1" spans="2:15">
      <c r="B32" s="157" t="s">
        <v>79</v>
      </c>
      <c r="C32" s="158"/>
      <c r="D32" s="159" t="s">
        <v>349</v>
      </c>
      <c r="E32" s="159" t="s">
        <v>326</v>
      </c>
      <c r="F32" s="160" t="s">
        <v>443</v>
      </c>
      <c r="G32" s="160" t="s">
        <v>444</v>
      </c>
      <c r="H32" s="161" t="s">
        <v>445</v>
      </c>
      <c r="I32" s="213" t="s">
        <v>446</v>
      </c>
      <c r="J32" s="213" t="s">
        <v>447</v>
      </c>
      <c r="K32" s="213" t="s">
        <v>448</v>
      </c>
      <c r="L32" s="213" t="s">
        <v>449</v>
      </c>
      <c r="M32" s="213" t="s">
        <v>450</v>
      </c>
      <c r="N32" s="213" t="s">
        <v>451</v>
      </c>
      <c r="O32" s="214" t="s">
        <v>182</v>
      </c>
    </row>
    <row r="33" ht="18" customHeight="1" spans="2:15">
      <c r="B33" s="162" t="s">
        <v>452</v>
      </c>
      <c r="C33" s="163"/>
      <c r="D33" s="164"/>
      <c r="E33" s="164"/>
      <c r="F33" s="165"/>
      <c r="G33" s="166"/>
      <c r="H33" s="164"/>
      <c r="I33" s="215"/>
      <c r="J33" s="216"/>
      <c r="K33" s="216"/>
      <c r="L33" s="215"/>
      <c r="M33" s="219"/>
      <c r="N33" s="219"/>
      <c r="O33" s="220"/>
    </row>
    <row r="34" ht="26" spans="2:15">
      <c r="B34" s="167">
        <v>1</v>
      </c>
      <c r="C34" s="168" t="s">
        <v>11</v>
      </c>
      <c r="D34" s="169" t="s">
        <v>255</v>
      </c>
      <c r="E34" s="164" t="s">
        <v>256</v>
      </c>
      <c r="F34" s="194">
        <v>45393</v>
      </c>
      <c r="G34" s="166" t="s">
        <v>486</v>
      </c>
      <c r="H34" s="171" t="s">
        <v>459</v>
      </c>
      <c r="I34" s="219">
        <v>100000</v>
      </c>
      <c r="J34" s="223">
        <v>45392</v>
      </c>
      <c r="K34" s="221" t="s">
        <v>460</v>
      </c>
      <c r="L34" s="219">
        <v>100000</v>
      </c>
      <c r="M34" s="222">
        <f t="shared" ref="M34:M55" si="2">I34-L34</f>
        <v>0</v>
      </c>
      <c r="N34" s="219"/>
      <c r="O34" s="220"/>
    </row>
    <row r="35" ht="26" spans="2:15">
      <c r="B35" s="167">
        <v>2</v>
      </c>
      <c r="C35" s="172" t="s">
        <v>11</v>
      </c>
      <c r="D35" s="173" t="s">
        <v>255</v>
      </c>
      <c r="E35" s="174" t="s">
        <v>256</v>
      </c>
      <c r="F35" s="175" t="s">
        <v>480</v>
      </c>
      <c r="G35" s="176" t="s">
        <v>487</v>
      </c>
      <c r="H35" s="177" t="s">
        <v>459</v>
      </c>
      <c r="I35" s="219">
        <v>100000</v>
      </c>
      <c r="J35" s="223">
        <v>45488</v>
      </c>
      <c r="K35" s="231" t="s">
        <v>460</v>
      </c>
      <c r="L35" s="219">
        <v>100000</v>
      </c>
      <c r="M35" s="222">
        <f t="shared" si="2"/>
        <v>0</v>
      </c>
      <c r="N35" s="219"/>
      <c r="O35" s="220"/>
    </row>
    <row r="36" spans="2:15">
      <c r="B36" s="167">
        <v>3</v>
      </c>
      <c r="C36" s="168" t="s">
        <v>11</v>
      </c>
      <c r="D36" s="169" t="s">
        <v>255</v>
      </c>
      <c r="E36" s="164" t="s">
        <v>256</v>
      </c>
      <c r="F36" s="165" t="s">
        <v>488</v>
      </c>
      <c r="G36" s="166" t="s">
        <v>489</v>
      </c>
      <c r="H36" s="171" t="s">
        <v>490</v>
      </c>
      <c r="I36" s="219">
        <v>5943</v>
      </c>
      <c r="J36" s="223" t="s">
        <v>488</v>
      </c>
      <c r="K36" s="232" t="s">
        <v>491</v>
      </c>
      <c r="L36" s="219">
        <v>5943</v>
      </c>
      <c r="M36" s="222">
        <f t="shared" si="2"/>
        <v>0</v>
      </c>
      <c r="N36" s="219"/>
      <c r="O36" s="220"/>
    </row>
    <row r="37" ht="39" spans="2:15">
      <c r="B37" s="167">
        <v>4</v>
      </c>
      <c r="C37" s="168" t="s">
        <v>11</v>
      </c>
      <c r="D37" s="169" t="s">
        <v>255</v>
      </c>
      <c r="E37" s="164" t="s">
        <v>256</v>
      </c>
      <c r="F37" s="165" t="s">
        <v>461</v>
      </c>
      <c r="G37" s="166" t="s">
        <v>462</v>
      </c>
      <c r="H37" s="171" t="s">
        <v>463</v>
      </c>
      <c r="I37" s="219">
        <v>124000</v>
      </c>
      <c r="J37" s="223">
        <v>45547</v>
      </c>
      <c r="K37" s="221" t="s">
        <v>464</v>
      </c>
      <c r="L37" s="219">
        <v>124000</v>
      </c>
      <c r="M37" s="222">
        <f t="shared" si="2"/>
        <v>0</v>
      </c>
      <c r="N37" s="219"/>
      <c r="O37" s="220"/>
    </row>
    <row r="38" ht="26" spans="2:15">
      <c r="B38" s="167">
        <v>5</v>
      </c>
      <c r="C38" s="168" t="s">
        <v>11</v>
      </c>
      <c r="D38" s="169" t="s">
        <v>255</v>
      </c>
      <c r="E38" s="164" t="s">
        <v>256</v>
      </c>
      <c r="F38" s="165" t="s">
        <v>492</v>
      </c>
      <c r="G38" s="166" t="s">
        <v>493</v>
      </c>
      <c r="H38" s="171" t="s">
        <v>494</v>
      </c>
      <c r="I38" s="219">
        <v>2100000</v>
      </c>
      <c r="J38" s="223" t="s">
        <v>492</v>
      </c>
      <c r="K38" s="221" t="s">
        <v>467</v>
      </c>
      <c r="L38" s="219">
        <v>2100000</v>
      </c>
      <c r="M38" s="222">
        <f t="shared" si="2"/>
        <v>0</v>
      </c>
      <c r="N38" s="219"/>
      <c r="O38" s="220"/>
    </row>
    <row r="39" spans="2:15">
      <c r="B39" s="167">
        <v>6</v>
      </c>
      <c r="C39" s="168"/>
      <c r="D39" s="169"/>
      <c r="E39" s="164"/>
      <c r="F39" s="165"/>
      <c r="G39" s="166"/>
      <c r="H39" s="171"/>
      <c r="I39" s="219"/>
      <c r="J39" s="216"/>
      <c r="K39" s="232"/>
      <c r="L39" s="219"/>
      <c r="M39" s="222">
        <f t="shared" si="2"/>
        <v>0</v>
      </c>
      <c r="N39" s="219"/>
      <c r="O39" s="220"/>
    </row>
    <row r="40" spans="2:15">
      <c r="B40" s="167">
        <v>7</v>
      </c>
      <c r="C40" s="168"/>
      <c r="D40" s="169"/>
      <c r="E40" s="164"/>
      <c r="F40" s="165"/>
      <c r="G40" s="166"/>
      <c r="H40" s="171"/>
      <c r="I40" s="219"/>
      <c r="J40" s="216"/>
      <c r="K40" s="232"/>
      <c r="L40" s="219"/>
      <c r="M40" s="222">
        <f t="shared" si="2"/>
        <v>0</v>
      </c>
      <c r="N40" s="219"/>
      <c r="O40" s="220"/>
    </row>
    <row r="41" spans="2:15">
      <c r="B41" s="167">
        <v>8</v>
      </c>
      <c r="C41" s="168"/>
      <c r="D41" s="169"/>
      <c r="E41" s="164"/>
      <c r="F41" s="165"/>
      <c r="G41" s="166"/>
      <c r="H41" s="171"/>
      <c r="I41" s="219"/>
      <c r="J41" s="216"/>
      <c r="K41" s="232"/>
      <c r="L41" s="219"/>
      <c r="M41" s="222">
        <f t="shared" si="2"/>
        <v>0</v>
      </c>
      <c r="N41" s="219"/>
      <c r="O41" s="220"/>
    </row>
    <row r="42" spans="2:15">
      <c r="B42" s="167">
        <v>9</v>
      </c>
      <c r="C42" s="168"/>
      <c r="D42" s="169"/>
      <c r="E42" s="164"/>
      <c r="F42" s="165"/>
      <c r="G42" s="166"/>
      <c r="H42" s="171"/>
      <c r="I42" s="219"/>
      <c r="J42" s="216"/>
      <c r="K42" s="232"/>
      <c r="L42" s="219"/>
      <c r="M42" s="222">
        <f t="shared" si="2"/>
        <v>0</v>
      </c>
      <c r="N42" s="219"/>
      <c r="O42" s="220"/>
    </row>
    <row r="43" spans="2:15">
      <c r="B43" s="167">
        <v>10</v>
      </c>
      <c r="C43" s="168"/>
      <c r="D43" s="169"/>
      <c r="E43" s="164"/>
      <c r="F43" s="165"/>
      <c r="G43" s="166"/>
      <c r="H43" s="171"/>
      <c r="I43" s="219"/>
      <c r="J43" s="216"/>
      <c r="K43" s="232"/>
      <c r="L43" s="219"/>
      <c r="M43" s="222">
        <f t="shared" si="2"/>
        <v>0</v>
      </c>
      <c r="N43" s="219"/>
      <c r="O43" s="220"/>
    </row>
    <row r="44" spans="2:15">
      <c r="B44" s="162" t="s">
        <v>471</v>
      </c>
      <c r="C44" s="163"/>
      <c r="D44" s="164"/>
      <c r="E44" s="164"/>
      <c r="F44" s="165"/>
      <c r="G44" s="166"/>
      <c r="H44" s="164"/>
      <c r="I44" s="215"/>
      <c r="J44" s="216"/>
      <c r="K44" s="232"/>
      <c r="L44" s="215"/>
      <c r="M44" s="219"/>
      <c r="N44" s="219"/>
      <c r="O44" s="220"/>
    </row>
    <row r="45" ht="39" spans="2:15">
      <c r="B45" s="167">
        <v>1</v>
      </c>
      <c r="C45" s="168" t="s">
        <v>11</v>
      </c>
      <c r="D45" s="169" t="s">
        <v>255</v>
      </c>
      <c r="E45" s="164" t="s">
        <v>256</v>
      </c>
      <c r="F45" s="165" t="s">
        <v>475</v>
      </c>
      <c r="G45" s="166" t="s">
        <v>495</v>
      </c>
      <c r="H45" s="171" t="s">
        <v>496</v>
      </c>
      <c r="I45" s="219">
        <v>26500</v>
      </c>
      <c r="J45" s="223" t="s">
        <v>475</v>
      </c>
      <c r="K45" s="232" t="s">
        <v>479</v>
      </c>
      <c r="L45" s="219">
        <v>26500</v>
      </c>
      <c r="M45" s="222">
        <f t="shared" si="2"/>
        <v>0</v>
      </c>
      <c r="N45" s="219"/>
      <c r="O45" s="220"/>
    </row>
    <row r="46" spans="2:15">
      <c r="B46" s="167">
        <v>2</v>
      </c>
      <c r="C46" s="168" t="s">
        <v>11</v>
      </c>
      <c r="D46" s="169" t="s">
        <v>255</v>
      </c>
      <c r="E46" s="164" t="s">
        <v>256</v>
      </c>
      <c r="F46" s="165" t="s">
        <v>497</v>
      </c>
      <c r="G46" s="166" t="s">
        <v>498</v>
      </c>
      <c r="H46" s="171" t="s">
        <v>499</v>
      </c>
      <c r="I46" s="219">
        <v>300</v>
      </c>
      <c r="J46" s="223">
        <v>45422</v>
      </c>
      <c r="K46" s="232" t="s">
        <v>500</v>
      </c>
      <c r="L46" s="219">
        <v>300</v>
      </c>
      <c r="M46" s="222">
        <f t="shared" si="2"/>
        <v>0</v>
      </c>
      <c r="N46" s="219"/>
      <c r="O46" s="220"/>
    </row>
    <row r="47" spans="2:15">
      <c r="B47" s="167">
        <v>3</v>
      </c>
      <c r="C47" s="168" t="s">
        <v>11</v>
      </c>
      <c r="D47" s="169" t="s">
        <v>255</v>
      </c>
      <c r="E47" s="164" t="s">
        <v>256</v>
      </c>
      <c r="F47" s="165" t="s">
        <v>497</v>
      </c>
      <c r="G47" s="166" t="s">
        <v>501</v>
      </c>
      <c r="H47" s="171" t="s">
        <v>502</v>
      </c>
      <c r="I47" s="219">
        <v>2000</v>
      </c>
      <c r="J47" s="223">
        <v>45433</v>
      </c>
      <c r="K47" s="232" t="s">
        <v>500</v>
      </c>
      <c r="L47" s="219">
        <v>2000</v>
      </c>
      <c r="M47" s="222">
        <f t="shared" si="2"/>
        <v>0</v>
      </c>
      <c r="N47" s="219"/>
      <c r="O47" s="220"/>
    </row>
    <row r="48" ht="39" spans="2:15">
      <c r="B48" s="167">
        <v>4</v>
      </c>
      <c r="C48" s="168" t="s">
        <v>11</v>
      </c>
      <c r="D48" s="169" t="s">
        <v>255</v>
      </c>
      <c r="E48" s="164" t="s">
        <v>256</v>
      </c>
      <c r="F48" s="165" t="s">
        <v>503</v>
      </c>
      <c r="G48" s="166" t="s">
        <v>504</v>
      </c>
      <c r="H48" s="171" t="s">
        <v>505</v>
      </c>
      <c r="I48" s="219">
        <v>27428.52</v>
      </c>
      <c r="J48" s="223">
        <v>45484</v>
      </c>
      <c r="K48" s="221" t="s">
        <v>479</v>
      </c>
      <c r="L48" s="219">
        <v>27428.52</v>
      </c>
      <c r="M48" s="222">
        <f t="shared" si="2"/>
        <v>0</v>
      </c>
      <c r="N48" s="219"/>
      <c r="O48" s="220"/>
    </row>
    <row r="49" ht="39" spans="2:15">
      <c r="B49" s="167">
        <v>5</v>
      </c>
      <c r="C49" s="168" t="s">
        <v>11</v>
      </c>
      <c r="D49" s="169" t="s">
        <v>255</v>
      </c>
      <c r="E49" s="164" t="s">
        <v>256</v>
      </c>
      <c r="F49" s="165" t="s">
        <v>482</v>
      </c>
      <c r="G49" s="166" t="s">
        <v>506</v>
      </c>
      <c r="H49" s="171" t="s">
        <v>507</v>
      </c>
      <c r="I49" s="219">
        <v>28730.71</v>
      </c>
      <c r="J49" s="223" t="s">
        <v>482</v>
      </c>
      <c r="K49" s="232" t="s">
        <v>479</v>
      </c>
      <c r="L49" s="219">
        <v>28730.71</v>
      </c>
      <c r="M49" s="222">
        <f t="shared" si="2"/>
        <v>0</v>
      </c>
      <c r="N49" s="219"/>
      <c r="O49" s="220"/>
    </row>
    <row r="50" ht="18" customHeight="1" spans="2:15">
      <c r="B50" s="167">
        <v>6</v>
      </c>
      <c r="C50" s="168"/>
      <c r="D50" s="169"/>
      <c r="E50" s="164"/>
      <c r="F50" s="165"/>
      <c r="G50" s="166"/>
      <c r="H50" s="171"/>
      <c r="I50" s="219"/>
      <c r="J50" s="216"/>
      <c r="K50" s="216"/>
      <c r="L50" s="219"/>
      <c r="M50" s="222">
        <f t="shared" si="2"/>
        <v>0</v>
      </c>
      <c r="N50" s="219"/>
      <c r="O50" s="220"/>
    </row>
    <row r="51" ht="18" customHeight="1" spans="2:15">
      <c r="B51" s="167">
        <v>7</v>
      </c>
      <c r="C51" s="168"/>
      <c r="D51" s="169"/>
      <c r="E51" s="164"/>
      <c r="F51" s="165"/>
      <c r="G51" s="166"/>
      <c r="H51" s="171"/>
      <c r="I51" s="219"/>
      <c r="J51" s="216"/>
      <c r="K51" s="216"/>
      <c r="L51" s="219"/>
      <c r="M51" s="222">
        <f t="shared" si="2"/>
        <v>0</v>
      </c>
      <c r="N51" s="219"/>
      <c r="O51" s="220"/>
    </row>
    <row r="52" ht="18" customHeight="1" spans="2:15">
      <c r="B52" s="167">
        <v>8</v>
      </c>
      <c r="C52" s="168"/>
      <c r="D52" s="169"/>
      <c r="E52" s="164"/>
      <c r="F52" s="165"/>
      <c r="G52" s="166"/>
      <c r="H52" s="171"/>
      <c r="I52" s="219"/>
      <c r="J52" s="216"/>
      <c r="K52" s="216"/>
      <c r="L52" s="219"/>
      <c r="M52" s="222">
        <f t="shared" si="2"/>
        <v>0</v>
      </c>
      <c r="N52" s="219"/>
      <c r="O52" s="220"/>
    </row>
    <row r="53" ht="18" customHeight="1" spans="2:15">
      <c r="B53" s="167">
        <v>9</v>
      </c>
      <c r="C53" s="168"/>
      <c r="D53" s="169"/>
      <c r="E53" s="164"/>
      <c r="F53" s="165"/>
      <c r="G53" s="166"/>
      <c r="H53" s="171"/>
      <c r="I53" s="219"/>
      <c r="J53" s="216"/>
      <c r="K53" s="216"/>
      <c r="L53" s="219"/>
      <c r="M53" s="222">
        <f t="shared" si="2"/>
        <v>0</v>
      </c>
      <c r="N53" s="219"/>
      <c r="O53" s="220"/>
    </row>
    <row r="54" ht="18" customHeight="1" spans="2:15">
      <c r="B54" s="167">
        <v>10</v>
      </c>
      <c r="C54" s="168"/>
      <c r="D54" s="169"/>
      <c r="E54" s="164"/>
      <c r="F54" s="165"/>
      <c r="G54" s="166"/>
      <c r="H54" s="171"/>
      <c r="I54" s="219"/>
      <c r="J54" s="216"/>
      <c r="K54" s="216"/>
      <c r="L54" s="219"/>
      <c r="M54" s="222">
        <f t="shared" si="2"/>
        <v>0</v>
      </c>
      <c r="N54" s="219"/>
      <c r="O54" s="220"/>
    </row>
    <row r="55" ht="18" customHeight="1" spans="2:15">
      <c r="B55" s="179"/>
      <c r="C55" s="180"/>
      <c r="D55" s="181"/>
      <c r="E55" s="182"/>
      <c r="F55" s="183"/>
      <c r="G55" s="184"/>
      <c r="H55" s="185"/>
      <c r="I55" s="224"/>
      <c r="J55" s="225"/>
      <c r="K55" s="225"/>
      <c r="L55" s="224"/>
      <c r="M55" s="227">
        <f t="shared" si="2"/>
        <v>0</v>
      </c>
      <c r="N55" s="224"/>
      <c r="O55" s="228"/>
    </row>
    <row r="56" ht="18" customHeight="1" spans="9:13">
      <c r="I56" s="229"/>
      <c r="J56" s="229"/>
      <c r="K56" s="229"/>
      <c r="L56" s="229"/>
      <c r="M56" s="229"/>
    </row>
    <row r="57" ht="18" customHeight="1" spans="2:13">
      <c r="B57" s="195" t="s">
        <v>415</v>
      </c>
      <c r="C57" s="195"/>
      <c r="D57" s="196"/>
      <c r="E57" s="188"/>
      <c r="F57" s="197"/>
      <c r="G57" s="198"/>
      <c r="H57" s="198"/>
      <c r="I57" s="233"/>
      <c r="J57" s="233"/>
      <c r="K57" s="233"/>
      <c r="L57" s="233"/>
      <c r="M57" s="229"/>
    </row>
    <row r="58" ht="18" customHeight="1" spans="2:15">
      <c r="B58" s="199" t="s">
        <v>508</v>
      </c>
      <c r="C58" s="200"/>
      <c r="D58" s="201"/>
      <c r="E58" s="202"/>
      <c r="F58" s="203"/>
      <c r="G58" s="203"/>
      <c r="H58" s="202"/>
      <c r="I58" s="203"/>
      <c r="J58" s="203"/>
      <c r="K58" s="203"/>
      <c r="L58" s="203"/>
      <c r="M58" s="234"/>
      <c r="N58" s="235"/>
      <c r="O58" s="236"/>
    </row>
    <row r="59" ht="18" customHeight="1" spans="2:15">
      <c r="B59" s="204"/>
      <c r="C59" s="195"/>
      <c r="D59" s="205"/>
      <c r="E59" s="205"/>
      <c r="F59" s="195"/>
      <c r="G59" s="195"/>
      <c r="H59" s="205"/>
      <c r="I59" s="195"/>
      <c r="J59" s="195"/>
      <c r="K59" s="195"/>
      <c r="L59" s="195"/>
      <c r="M59" s="237"/>
      <c r="N59" s="195"/>
      <c r="O59" s="238"/>
    </row>
    <row r="60" ht="18" customHeight="1" spans="2:15">
      <c r="B60" s="206"/>
      <c r="C60" s="207"/>
      <c r="D60" s="208"/>
      <c r="E60" s="208"/>
      <c r="F60" s="207"/>
      <c r="G60" s="207"/>
      <c r="H60" s="208"/>
      <c r="I60" s="207"/>
      <c r="J60" s="207"/>
      <c r="K60" s="207"/>
      <c r="L60" s="207"/>
      <c r="M60" s="239"/>
      <c r="N60" s="207"/>
      <c r="O60" s="240"/>
    </row>
    <row r="61" ht="18" customHeight="1" spans="9:13">
      <c r="I61" s="229"/>
      <c r="J61" s="229"/>
      <c r="K61" s="229"/>
      <c r="L61" s="229"/>
      <c r="M61" s="229"/>
    </row>
    <row r="62" s="142" customFormat="1" ht="18" customHeight="1" spans="2:13">
      <c r="B62" s="142" t="s">
        <v>419</v>
      </c>
      <c r="D62" s="209"/>
      <c r="E62" s="209"/>
      <c r="H62" s="209"/>
      <c r="I62" s="241"/>
      <c r="J62" s="241"/>
      <c r="K62" s="241"/>
      <c r="L62" s="241"/>
      <c r="M62" s="241"/>
    </row>
    <row r="63" s="142" customFormat="1" ht="18" customHeight="1" spans="2:13">
      <c r="B63" s="142" t="s">
        <v>509</v>
      </c>
      <c r="D63" s="209"/>
      <c r="E63" s="209"/>
      <c r="H63" s="209"/>
      <c r="I63" s="241"/>
      <c r="J63" s="241"/>
      <c r="K63" s="241"/>
      <c r="L63" s="241"/>
      <c r="M63" s="241"/>
    </row>
    <row r="64" s="142" customFormat="1" ht="18" customHeight="1" spans="2:13">
      <c r="B64" s="142" t="s">
        <v>510</v>
      </c>
      <c r="D64" s="209"/>
      <c r="E64" s="209"/>
      <c r="H64" s="209"/>
      <c r="I64" s="241"/>
      <c r="J64" s="241"/>
      <c r="K64" s="241"/>
      <c r="L64" s="241"/>
      <c r="M64" s="241"/>
    </row>
    <row r="65" ht="18" customHeight="1" spans="9:13">
      <c r="I65" s="229"/>
      <c r="J65" s="229"/>
      <c r="K65" s="229"/>
      <c r="L65" s="229"/>
      <c r="M65" s="229"/>
    </row>
    <row r="66" ht="18" customHeight="1" spans="9:13">
      <c r="I66" s="229"/>
      <c r="J66" s="229"/>
      <c r="K66" s="229"/>
      <c r="L66" s="229"/>
      <c r="M66" s="229"/>
    </row>
    <row r="67" ht="18" customHeight="1" spans="9:13">
      <c r="I67" s="229"/>
      <c r="J67" s="229"/>
      <c r="K67" s="229"/>
      <c r="L67" s="229"/>
      <c r="M67" s="229"/>
    </row>
    <row r="68" ht="18" customHeight="1" spans="9:13">
      <c r="I68" s="229"/>
      <c r="J68" s="229"/>
      <c r="K68" s="229"/>
      <c r="L68" s="229"/>
      <c r="M68" s="229"/>
    </row>
    <row r="69" ht="18" customHeight="1" spans="9:13">
      <c r="I69" s="229"/>
      <c r="J69" s="229"/>
      <c r="K69" s="229"/>
      <c r="L69" s="229"/>
      <c r="M69" s="229"/>
    </row>
    <row r="70" ht="18" customHeight="1" spans="9:13">
      <c r="I70" s="229"/>
      <c r="J70" s="229"/>
      <c r="K70" s="229"/>
      <c r="L70" s="229"/>
      <c r="M70" s="229"/>
    </row>
    <row r="71" ht="18" customHeight="1" spans="9:13">
      <c r="I71" s="229"/>
      <c r="J71" s="229"/>
      <c r="K71" s="229"/>
      <c r="L71" s="229"/>
      <c r="M71" s="229"/>
    </row>
    <row r="72" ht="18" customHeight="1" spans="9:13">
      <c r="I72" s="229"/>
      <c r="J72" s="229"/>
      <c r="K72" s="229"/>
      <c r="L72" s="229"/>
      <c r="M72" s="229"/>
    </row>
    <row r="73" ht="18" customHeight="1" spans="9:13">
      <c r="I73" s="229"/>
      <c r="J73" s="229"/>
      <c r="K73" s="229"/>
      <c r="L73" s="229"/>
      <c r="M73" s="229"/>
    </row>
    <row r="74" ht="18" customHeight="1" spans="9:13">
      <c r="I74" s="229"/>
      <c r="J74" s="229"/>
      <c r="K74" s="229"/>
      <c r="L74" s="229"/>
      <c r="M74" s="229"/>
    </row>
  </sheetData>
  <hyperlinks>
    <hyperlink ref="A1" location="'目录'!C18" display="&lt;&lt;"/>
  </hyperlinks>
  <printOptions horizontalCentered="1"/>
  <pageMargins left="0.196850393700787" right="0.196850393700787" top="0.984251968503937" bottom="0.78740157480315" header="0.511811023622047" footer="0.511811023622047"/>
  <pageSetup paperSize="9" scale="75" orientation="landscape" blackAndWhite="1"/>
  <headerFooter alignWithMargins="0"/>
  <rowBreaks count="1" manualBreakCount="1">
    <brk id="29" max="13" man="1"/>
  </row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pageSetUpPr fitToPage="1"/>
  </sheetPr>
  <dimension ref="A1:O28"/>
  <sheetViews>
    <sheetView showGridLines="0" zoomScaleSheetLayoutView="85" workbookViewId="0">
      <pane ySplit="5" topLeftCell="A6" activePane="bottomLeft" state="frozen"/>
      <selection/>
      <selection pane="bottomLeft" activeCell="D23" sqref="D23"/>
    </sheetView>
  </sheetViews>
  <sheetFormatPr defaultColWidth="8.6" defaultRowHeight="15"/>
  <cols>
    <col min="1" max="1" width="2.6" style="89" customWidth="1"/>
    <col min="2" max="2" width="16.0666666666667" style="89" customWidth="1"/>
    <col min="3" max="3" width="11.1" style="89" customWidth="1"/>
    <col min="4" max="4" width="15.5083333333333" style="89" customWidth="1"/>
    <col min="5" max="5" width="23.6" style="89" customWidth="1"/>
    <col min="6" max="6" width="13.6" style="89" customWidth="1"/>
    <col min="7" max="7" width="11.6" style="89" customWidth="1"/>
    <col min="8" max="8" width="12.1" style="89" customWidth="1"/>
    <col min="9" max="13" width="5.6" style="89" customWidth="1"/>
    <col min="14" max="14" width="13.1" style="89" customWidth="1"/>
    <col min="15" max="16384" width="8.6" style="89"/>
  </cols>
  <sheetData>
    <row r="1" s="87" customFormat="1" ht="28.5" customHeight="1" spans="1:14">
      <c r="A1" s="65" t="s">
        <v>58</v>
      </c>
      <c r="B1" s="90" t="s">
        <v>54</v>
      </c>
      <c r="C1" s="91"/>
      <c r="D1" s="91"/>
      <c r="E1" s="91"/>
      <c r="F1" s="91"/>
      <c r="G1" s="91"/>
      <c r="H1" s="91"/>
      <c r="I1" s="91"/>
      <c r="J1" s="91"/>
      <c r="K1" s="91"/>
      <c r="L1" s="91"/>
      <c r="M1" s="125" t="s">
        <v>59</v>
      </c>
      <c r="N1" s="126" t="str">
        <f>目录!E19</f>
        <v>1010-13</v>
      </c>
    </row>
    <row r="2" s="88" customFormat="1" ht="26.1" customHeight="1" spans="2:14">
      <c r="B2" s="92"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C2" s="93"/>
      <c r="D2" s="94"/>
      <c r="E2" s="94"/>
      <c r="F2" s="94"/>
      <c r="G2" s="94"/>
      <c r="H2" s="94"/>
      <c r="M2" s="125"/>
      <c r="N2" s="96"/>
    </row>
    <row r="3" s="88" customFormat="1" ht="12" customHeight="1" spans="2:14">
      <c r="B3" s="95"/>
      <c r="C3" s="95"/>
      <c r="D3" s="96"/>
      <c r="E3" s="94"/>
      <c r="F3" s="94"/>
      <c r="G3" s="94"/>
      <c r="H3" s="94"/>
      <c r="J3" s="127"/>
      <c r="K3" s="96"/>
      <c r="M3" s="127"/>
      <c r="N3" s="128"/>
    </row>
    <row r="4" ht="30" customHeight="1" spans="2:14">
      <c r="B4" s="97" t="s">
        <v>223</v>
      </c>
      <c r="C4" s="98" t="s">
        <v>443</v>
      </c>
      <c r="D4" s="99" t="s">
        <v>511</v>
      </c>
      <c r="E4" s="98" t="s">
        <v>512</v>
      </c>
      <c r="F4" s="98" t="s">
        <v>513</v>
      </c>
      <c r="G4" s="98" t="s">
        <v>514</v>
      </c>
      <c r="H4" s="98" t="s">
        <v>515</v>
      </c>
      <c r="I4" s="99" t="s">
        <v>516</v>
      </c>
      <c r="J4" s="129"/>
      <c r="K4" s="129"/>
      <c r="L4" s="129"/>
      <c r="M4" s="129"/>
      <c r="N4" s="130" t="s">
        <v>517</v>
      </c>
    </row>
    <row r="5" spans="2:14">
      <c r="B5" s="100"/>
      <c r="C5" s="101"/>
      <c r="D5" s="102"/>
      <c r="E5" s="102"/>
      <c r="F5" s="102"/>
      <c r="G5" s="102"/>
      <c r="H5" s="102"/>
      <c r="I5" s="102">
        <v>1</v>
      </c>
      <c r="J5" s="102">
        <v>2</v>
      </c>
      <c r="K5" s="102">
        <v>3</v>
      </c>
      <c r="L5" s="102">
        <v>4</v>
      </c>
      <c r="M5" s="102">
        <v>5</v>
      </c>
      <c r="N5" s="131"/>
    </row>
    <row r="6" ht="26" spans="2:14">
      <c r="B6" s="103" t="s">
        <v>9</v>
      </c>
      <c r="C6" s="104" t="s">
        <v>518</v>
      </c>
      <c r="D6" s="105" t="s">
        <v>519</v>
      </c>
      <c r="E6" s="106" t="s">
        <v>459</v>
      </c>
      <c r="F6" s="106" t="s">
        <v>375</v>
      </c>
      <c r="G6" s="107">
        <v>2600000</v>
      </c>
      <c r="H6" s="107"/>
      <c r="I6" s="132" t="s">
        <v>69</v>
      </c>
      <c r="J6" s="132" t="s">
        <v>69</v>
      </c>
      <c r="K6" s="132" t="s">
        <v>69</v>
      </c>
      <c r="L6" s="132" t="s">
        <v>69</v>
      </c>
      <c r="M6" s="132"/>
      <c r="N6" s="133"/>
    </row>
    <row r="7" ht="26" spans="2:14">
      <c r="B7" s="103" t="s">
        <v>9</v>
      </c>
      <c r="C7" s="104" t="s">
        <v>520</v>
      </c>
      <c r="D7" s="105" t="s">
        <v>521</v>
      </c>
      <c r="E7" s="106" t="s">
        <v>494</v>
      </c>
      <c r="F7" s="106" t="s">
        <v>375</v>
      </c>
      <c r="G7" s="107"/>
      <c r="H7" s="107">
        <v>800000</v>
      </c>
      <c r="I7" s="132" t="s">
        <v>69</v>
      </c>
      <c r="J7" s="132" t="s">
        <v>69</v>
      </c>
      <c r="K7" s="132" t="s">
        <v>69</v>
      </c>
      <c r="L7" s="132" t="s">
        <v>69</v>
      </c>
      <c r="M7" s="132"/>
      <c r="N7" s="134"/>
    </row>
    <row r="8" ht="26" spans="2:14">
      <c r="B8" s="103" t="s">
        <v>9</v>
      </c>
      <c r="C8" s="104" t="s">
        <v>461</v>
      </c>
      <c r="D8" s="105" t="s">
        <v>522</v>
      </c>
      <c r="E8" s="106" t="s">
        <v>523</v>
      </c>
      <c r="F8" s="106" t="s">
        <v>524</v>
      </c>
      <c r="G8" s="107">
        <v>5943</v>
      </c>
      <c r="H8" s="107"/>
      <c r="I8" s="132" t="s">
        <v>69</v>
      </c>
      <c r="J8" s="132" t="s">
        <v>69</v>
      </c>
      <c r="K8" s="132" t="s">
        <v>69</v>
      </c>
      <c r="L8" s="132" t="s">
        <v>69</v>
      </c>
      <c r="M8" s="132"/>
      <c r="N8" s="134"/>
    </row>
    <row r="9" ht="26" spans="2:14">
      <c r="B9" s="103" t="s">
        <v>9</v>
      </c>
      <c r="C9" s="104" t="s">
        <v>468</v>
      </c>
      <c r="D9" s="105" t="s">
        <v>469</v>
      </c>
      <c r="E9" s="106" t="s">
        <v>470</v>
      </c>
      <c r="F9" s="106" t="s">
        <v>375</v>
      </c>
      <c r="G9" s="107">
        <v>2100000</v>
      </c>
      <c r="H9" s="107"/>
      <c r="I9" s="132" t="s">
        <v>69</v>
      </c>
      <c r="J9" s="132" t="s">
        <v>69</v>
      </c>
      <c r="K9" s="132" t="s">
        <v>69</v>
      </c>
      <c r="L9" s="132" t="s">
        <v>69</v>
      </c>
      <c r="M9" s="132"/>
      <c r="N9" s="134"/>
    </row>
    <row r="10" ht="26" spans="2:14">
      <c r="B10" s="103" t="s">
        <v>9</v>
      </c>
      <c r="C10" s="104" t="s">
        <v>492</v>
      </c>
      <c r="D10" s="105" t="s">
        <v>493</v>
      </c>
      <c r="E10" s="106" t="s">
        <v>494</v>
      </c>
      <c r="F10" s="106" t="s">
        <v>375</v>
      </c>
      <c r="G10" s="107"/>
      <c r="H10" s="107">
        <v>2100000</v>
      </c>
      <c r="I10" s="132" t="s">
        <v>69</v>
      </c>
      <c r="J10" s="132" t="s">
        <v>69</v>
      </c>
      <c r="K10" s="132" t="s">
        <v>69</v>
      </c>
      <c r="L10" s="132" t="s">
        <v>69</v>
      </c>
      <c r="M10" s="132"/>
      <c r="N10" s="134"/>
    </row>
    <row r="11" ht="18.9" customHeight="1" spans="2:14">
      <c r="B11" s="103"/>
      <c r="C11" s="104"/>
      <c r="D11" s="105"/>
      <c r="E11" s="106"/>
      <c r="F11" s="106"/>
      <c r="G11" s="107"/>
      <c r="H11" s="107"/>
      <c r="I11" s="132"/>
      <c r="J11" s="132"/>
      <c r="K11" s="132"/>
      <c r="L11" s="132"/>
      <c r="M11" s="132"/>
      <c r="N11" s="134"/>
    </row>
    <row r="12" ht="18.9" customHeight="1" spans="2:14">
      <c r="B12" s="103"/>
      <c r="C12" s="104"/>
      <c r="D12" s="105"/>
      <c r="E12" s="106"/>
      <c r="F12" s="106"/>
      <c r="G12" s="107"/>
      <c r="H12" s="107"/>
      <c r="I12" s="132"/>
      <c r="J12" s="132"/>
      <c r="K12" s="132"/>
      <c r="L12" s="132"/>
      <c r="M12" s="132"/>
      <c r="N12" s="134"/>
    </row>
    <row r="13" ht="18.9" customHeight="1" spans="2:14">
      <c r="B13" s="103"/>
      <c r="C13" s="104"/>
      <c r="D13" s="105"/>
      <c r="E13" s="106"/>
      <c r="F13" s="106"/>
      <c r="G13" s="107"/>
      <c r="H13" s="107"/>
      <c r="I13" s="132"/>
      <c r="J13" s="132"/>
      <c r="K13" s="132"/>
      <c r="L13" s="132"/>
      <c r="M13" s="132"/>
      <c r="N13" s="134"/>
    </row>
    <row r="14" ht="18.9" customHeight="1" spans="2:14">
      <c r="B14" s="108"/>
      <c r="C14" s="109"/>
      <c r="D14" s="110"/>
      <c r="E14" s="111"/>
      <c r="F14" s="111"/>
      <c r="G14" s="112"/>
      <c r="H14" s="112"/>
      <c r="I14" s="135"/>
      <c r="J14" s="135"/>
      <c r="K14" s="135"/>
      <c r="L14" s="135"/>
      <c r="M14" s="135"/>
      <c r="N14" s="136"/>
    </row>
    <row r="15" ht="24" customHeight="1" spans="2:14">
      <c r="B15" s="113" t="s">
        <v>525</v>
      </c>
      <c r="C15" s="113"/>
      <c r="D15" s="114"/>
      <c r="E15" s="114"/>
      <c r="F15" s="114"/>
      <c r="G15" s="114"/>
      <c r="H15" s="114"/>
      <c r="I15" s="114"/>
      <c r="J15" s="114"/>
      <c r="K15" s="114"/>
      <c r="L15" s="114"/>
      <c r="M15" s="117"/>
      <c r="N15" s="117"/>
    </row>
    <row r="16" ht="30" customHeight="1" spans="2:14">
      <c r="B16" s="115" t="s">
        <v>526</v>
      </c>
      <c r="C16" s="115"/>
      <c r="D16" s="115"/>
      <c r="E16" s="115"/>
      <c r="F16" s="115"/>
      <c r="G16" s="115"/>
      <c r="H16" s="115"/>
      <c r="I16" s="115"/>
      <c r="J16" s="115"/>
      <c r="K16" s="115"/>
      <c r="L16" s="115"/>
      <c r="M16" s="115"/>
      <c r="N16" s="115"/>
    </row>
    <row r="17" ht="30.9" customHeight="1" spans="2:14">
      <c r="B17" s="115" t="s">
        <v>527</v>
      </c>
      <c r="C17" s="115"/>
      <c r="D17" s="115"/>
      <c r="E17" s="115"/>
      <c r="F17" s="115"/>
      <c r="G17" s="115"/>
      <c r="H17" s="115"/>
      <c r="I17" s="115"/>
      <c r="J17" s="115"/>
      <c r="K17" s="115"/>
      <c r="L17" s="115"/>
      <c r="M17" s="115"/>
      <c r="N17" s="115"/>
    </row>
    <row r="18" ht="20.1" customHeight="1" spans="2:14">
      <c r="B18" s="115" t="s">
        <v>528</v>
      </c>
      <c r="C18" s="115"/>
      <c r="D18" s="115"/>
      <c r="E18" s="115"/>
      <c r="F18" s="115"/>
      <c r="G18" s="115"/>
      <c r="H18" s="115"/>
      <c r="I18" s="115"/>
      <c r="J18" s="115"/>
      <c r="K18" s="115"/>
      <c r="L18" s="115"/>
      <c r="M18" s="115"/>
      <c r="N18" s="115"/>
    </row>
    <row r="19" ht="24" customHeight="1" spans="2:14">
      <c r="B19" s="116" t="s">
        <v>198</v>
      </c>
      <c r="C19" s="116"/>
      <c r="D19" s="117"/>
      <c r="E19" s="117"/>
      <c r="F19" s="117"/>
      <c r="G19" s="117"/>
      <c r="H19" s="117"/>
      <c r="I19" s="117"/>
      <c r="J19" s="117"/>
      <c r="K19" s="117"/>
      <c r="L19" s="117"/>
      <c r="M19" s="117"/>
      <c r="N19" s="117"/>
    </row>
    <row r="20" ht="24" customHeight="1" spans="2:14">
      <c r="B20" s="118" t="s">
        <v>529</v>
      </c>
      <c r="C20" s="119"/>
      <c r="D20" s="119"/>
      <c r="E20" s="119"/>
      <c r="F20" s="119"/>
      <c r="G20" s="119"/>
      <c r="H20" s="119"/>
      <c r="I20" s="119"/>
      <c r="J20" s="119"/>
      <c r="K20" s="119"/>
      <c r="L20" s="119"/>
      <c r="M20" s="119"/>
      <c r="N20" s="137"/>
    </row>
    <row r="21" ht="24" customHeight="1" spans="2:14">
      <c r="B21" s="120"/>
      <c r="C21" s="121"/>
      <c r="D21" s="121"/>
      <c r="E21" s="121"/>
      <c r="F21" s="121"/>
      <c r="G21" s="121"/>
      <c r="H21" s="121"/>
      <c r="I21" s="121"/>
      <c r="J21" s="121"/>
      <c r="K21" s="121"/>
      <c r="L21" s="121"/>
      <c r="M21" s="121"/>
      <c r="N21" s="138"/>
    </row>
    <row r="22" ht="24" customHeight="1" spans="2:14">
      <c r="B22" s="122"/>
      <c r="C22" s="123"/>
      <c r="D22" s="123"/>
      <c r="E22" s="123"/>
      <c r="F22" s="123"/>
      <c r="G22" s="123"/>
      <c r="H22" s="123"/>
      <c r="I22" s="123"/>
      <c r="J22" s="123"/>
      <c r="K22" s="123"/>
      <c r="L22" s="123"/>
      <c r="M22" s="123"/>
      <c r="N22" s="139"/>
    </row>
    <row r="23" ht="24" customHeight="1" spans="2:15">
      <c r="B23" s="124"/>
      <c r="C23" s="124"/>
      <c r="D23" s="124"/>
      <c r="E23" s="124"/>
      <c r="F23" s="124"/>
      <c r="G23" s="124"/>
      <c r="H23" s="124"/>
      <c r="I23" s="124"/>
      <c r="J23" s="124"/>
      <c r="K23" s="124"/>
      <c r="L23" s="124"/>
      <c r="M23" s="124"/>
      <c r="N23" s="124"/>
      <c r="O23" s="124"/>
    </row>
    <row r="24" ht="24" customHeight="1" spans="2:15">
      <c r="B24" s="124"/>
      <c r="C24" s="124"/>
      <c r="D24" s="124"/>
      <c r="E24" s="124"/>
      <c r="F24" s="124"/>
      <c r="G24" s="124"/>
      <c r="H24" s="124"/>
      <c r="I24" s="124"/>
      <c r="J24" s="124"/>
      <c r="K24" s="124"/>
      <c r="L24" s="124"/>
      <c r="M24" s="124"/>
      <c r="N24" s="124"/>
      <c r="O24" s="124"/>
    </row>
    <row r="25" ht="24" customHeight="1"/>
    <row r="26" ht="24" customHeight="1"/>
    <row r="27" ht="24" customHeight="1"/>
    <row r="28" ht="24" customHeight="1"/>
  </sheetData>
  <mergeCells count="15">
    <mergeCell ref="I4:M4"/>
    <mergeCell ref="B16:N16"/>
    <mergeCell ref="B17:N17"/>
    <mergeCell ref="B18:N18"/>
    <mergeCell ref="B20:N20"/>
    <mergeCell ref="B21:N21"/>
    <mergeCell ref="B22:N22"/>
    <mergeCell ref="B4:B5"/>
    <mergeCell ref="C4:C5"/>
    <mergeCell ref="D4:D5"/>
    <mergeCell ref="E4:E5"/>
    <mergeCell ref="F4:F5"/>
    <mergeCell ref="G4:G5"/>
    <mergeCell ref="H4:H5"/>
    <mergeCell ref="N4:N5"/>
  </mergeCells>
  <dataValidations count="1">
    <dataValidation type="list" allowBlank="1" showInputMessage="1" showErrorMessage="1" sqref="I6:M14">
      <formula1>"√,×"</formula1>
    </dataValidation>
  </dataValidations>
  <hyperlinks>
    <hyperlink ref="A1" location="'目录'!C19" display="&lt;&lt;"/>
  </hyperlinks>
  <printOptions horizontalCentered="1"/>
  <pageMargins left="0.196850393700787" right="0.196850393700787" top="0.78740157480315" bottom="0.590551181102362" header="0.196850393700787" footer="0.196850393700787"/>
  <pageSetup paperSize="9" scale="93" fitToHeight="0" orientation="landscape" blackAndWhite="1"/>
  <headerFooter alignWithMargins="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S17"/>
  <sheetViews>
    <sheetView showGridLines="0" workbookViewId="0">
      <selection activeCell="A1" sqref="A1"/>
    </sheetView>
  </sheetViews>
  <sheetFormatPr defaultColWidth="9" defaultRowHeight="15"/>
  <cols>
    <col min="1" max="1" width="2.6" style="5" customWidth="1"/>
    <col min="2" max="2" width="7.1" style="5" customWidth="1"/>
    <col min="3" max="3" width="14.1" style="5" customWidth="1"/>
    <col min="4" max="4" width="16.1" style="5" customWidth="1"/>
    <col min="5" max="5" width="9" style="5"/>
    <col min="6" max="6" width="16.4" style="5" customWidth="1"/>
    <col min="7" max="7" width="9" style="5"/>
    <col min="8" max="8" width="12.6" style="5" customWidth="1"/>
    <col min="9" max="9" width="9" style="5"/>
    <col min="10" max="10" width="11.5" style="5" customWidth="1"/>
    <col min="11" max="11" width="12.5" style="5" customWidth="1"/>
    <col min="12" max="16" width="9" style="5"/>
    <col min="17" max="17" width="12" style="5" customWidth="1"/>
    <col min="18" max="256" width="9" style="5"/>
    <col min="257" max="257" width="4.1" style="5" customWidth="1"/>
    <col min="258" max="258" width="7.1" style="5" customWidth="1"/>
    <col min="259" max="259" width="14.1" style="5" customWidth="1"/>
    <col min="260" max="260" width="16.1" style="5" customWidth="1"/>
    <col min="261" max="261" width="9" style="5"/>
    <col min="262" max="262" width="16.4" style="5" customWidth="1"/>
    <col min="263" max="263" width="9" style="5"/>
    <col min="264" max="264" width="12.6" style="5" customWidth="1"/>
    <col min="265" max="265" width="9" style="5"/>
    <col min="266" max="266" width="11.5" style="5" customWidth="1"/>
    <col min="267" max="267" width="12.5" style="5" customWidth="1"/>
    <col min="268" max="272" width="9" style="5"/>
    <col min="273" max="273" width="12" style="5" customWidth="1"/>
    <col min="274" max="512" width="9" style="5"/>
    <col min="513" max="513" width="4.1" style="5" customWidth="1"/>
    <col min="514" max="514" width="7.1" style="5" customWidth="1"/>
    <col min="515" max="515" width="14.1" style="5" customWidth="1"/>
    <col min="516" max="516" width="16.1" style="5" customWidth="1"/>
    <col min="517" max="517" width="9" style="5"/>
    <col min="518" max="518" width="16.4" style="5" customWidth="1"/>
    <col min="519" max="519" width="9" style="5"/>
    <col min="520" max="520" width="12.6" style="5" customWidth="1"/>
    <col min="521" max="521" width="9" style="5"/>
    <col min="522" max="522" width="11.5" style="5" customWidth="1"/>
    <col min="523" max="523" width="12.5" style="5" customWidth="1"/>
    <col min="524" max="528" width="9" style="5"/>
    <col min="529" max="529" width="12" style="5" customWidth="1"/>
    <col min="530" max="768" width="9" style="5"/>
    <col min="769" max="769" width="4.1" style="5" customWidth="1"/>
    <col min="770" max="770" width="7.1" style="5" customWidth="1"/>
    <col min="771" max="771" width="14.1" style="5" customWidth="1"/>
    <col min="772" max="772" width="16.1" style="5" customWidth="1"/>
    <col min="773" max="773" width="9" style="5"/>
    <col min="774" max="774" width="16.4" style="5" customWidth="1"/>
    <col min="775" max="775" width="9" style="5"/>
    <col min="776" max="776" width="12.6" style="5" customWidth="1"/>
    <col min="777" max="777" width="9" style="5"/>
    <col min="778" max="778" width="11.5" style="5" customWidth="1"/>
    <col min="779" max="779" width="12.5" style="5" customWidth="1"/>
    <col min="780" max="784" width="9" style="5"/>
    <col min="785" max="785" width="12" style="5" customWidth="1"/>
    <col min="786" max="1024" width="9" style="5"/>
    <col min="1025" max="1025" width="4.1" style="5" customWidth="1"/>
    <col min="1026" max="1026" width="7.1" style="5" customWidth="1"/>
    <col min="1027" max="1027" width="14.1" style="5" customWidth="1"/>
    <col min="1028" max="1028" width="16.1" style="5" customWidth="1"/>
    <col min="1029" max="1029" width="9" style="5"/>
    <col min="1030" max="1030" width="16.4" style="5" customWidth="1"/>
    <col min="1031" max="1031" width="9" style="5"/>
    <col min="1032" max="1032" width="12.6" style="5" customWidth="1"/>
    <col min="1033" max="1033" width="9" style="5"/>
    <col min="1034" max="1034" width="11.5" style="5" customWidth="1"/>
    <col min="1035" max="1035" width="12.5" style="5" customWidth="1"/>
    <col min="1036" max="1040" width="9" style="5"/>
    <col min="1041" max="1041" width="12" style="5" customWidth="1"/>
    <col min="1042" max="1280" width="9" style="5"/>
    <col min="1281" max="1281" width="4.1" style="5" customWidth="1"/>
    <col min="1282" max="1282" width="7.1" style="5" customWidth="1"/>
    <col min="1283" max="1283" width="14.1" style="5" customWidth="1"/>
    <col min="1284" max="1284" width="16.1" style="5" customWidth="1"/>
    <col min="1285" max="1285" width="9" style="5"/>
    <col min="1286" max="1286" width="16.4" style="5" customWidth="1"/>
    <col min="1287" max="1287" width="9" style="5"/>
    <col min="1288" max="1288" width="12.6" style="5" customWidth="1"/>
    <col min="1289" max="1289" width="9" style="5"/>
    <col min="1290" max="1290" width="11.5" style="5" customWidth="1"/>
    <col min="1291" max="1291" width="12.5" style="5" customWidth="1"/>
    <col min="1292" max="1296" width="9" style="5"/>
    <col min="1297" max="1297" width="12" style="5" customWidth="1"/>
    <col min="1298" max="1536" width="9" style="5"/>
    <col min="1537" max="1537" width="4.1" style="5" customWidth="1"/>
    <col min="1538" max="1538" width="7.1" style="5" customWidth="1"/>
    <col min="1539" max="1539" width="14.1" style="5" customWidth="1"/>
    <col min="1540" max="1540" width="16.1" style="5" customWidth="1"/>
    <col min="1541" max="1541" width="9" style="5"/>
    <col min="1542" max="1542" width="16.4" style="5" customWidth="1"/>
    <col min="1543" max="1543" width="9" style="5"/>
    <col min="1544" max="1544" width="12.6" style="5" customWidth="1"/>
    <col min="1545" max="1545" width="9" style="5"/>
    <col min="1546" max="1546" width="11.5" style="5" customWidth="1"/>
    <col min="1547" max="1547" width="12.5" style="5" customWidth="1"/>
    <col min="1548" max="1552" width="9" style="5"/>
    <col min="1553" max="1553" width="12" style="5" customWidth="1"/>
    <col min="1554" max="1792" width="9" style="5"/>
    <col min="1793" max="1793" width="4.1" style="5" customWidth="1"/>
    <col min="1794" max="1794" width="7.1" style="5" customWidth="1"/>
    <col min="1795" max="1795" width="14.1" style="5" customWidth="1"/>
    <col min="1796" max="1796" width="16.1" style="5" customWidth="1"/>
    <col min="1797" max="1797" width="9" style="5"/>
    <col min="1798" max="1798" width="16.4" style="5" customWidth="1"/>
    <col min="1799" max="1799" width="9" style="5"/>
    <col min="1800" max="1800" width="12.6" style="5" customWidth="1"/>
    <col min="1801" max="1801" width="9" style="5"/>
    <col min="1802" max="1802" width="11.5" style="5" customWidth="1"/>
    <col min="1803" max="1803" width="12.5" style="5" customWidth="1"/>
    <col min="1804" max="1808" width="9" style="5"/>
    <col min="1809" max="1809" width="12" style="5" customWidth="1"/>
    <col min="1810" max="2048" width="9" style="5"/>
    <col min="2049" max="2049" width="4.1" style="5" customWidth="1"/>
    <col min="2050" max="2050" width="7.1" style="5" customWidth="1"/>
    <col min="2051" max="2051" width="14.1" style="5" customWidth="1"/>
    <col min="2052" max="2052" width="16.1" style="5" customWidth="1"/>
    <col min="2053" max="2053" width="9" style="5"/>
    <col min="2054" max="2054" width="16.4" style="5" customWidth="1"/>
    <col min="2055" max="2055" width="9" style="5"/>
    <col min="2056" max="2056" width="12.6" style="5" customWidth="1"/>
    <col min="2057" max="2057" width="9" style="5"/>
    <col min="2058" max="2058" width="11.5" style="5" customWidth="1"/>
    <col min="2059" max="2059" width="12.5" style="5" customWidth="1"/>
    <col min="2060" max="2064" width="9" style="5"/>
    <col min="2065" max="2065" width="12" style="5" customWidth="1"/>
    <col min="2066" max="2304" width="9" style="5"/>
    <col min="2305" max="2305" width="4.1" style="5" customWidth="1"/>
    <col min="2306" max="2306" width="7.1" style="5" customWidth="1"/>
    <col min="2307" max="2307" width="14.1" style="5" customWidth="1"/>
    <col min="2308" max="2308" width="16.1" style="5" customWidth="1"/>
    <col min="2309" max="2309" width="9" style="5"/>
    <col min="2310" max="2310" width="16.4" style="5" customWidth="1"/>
    <col min="2311" max="2311" width="9" style="5"/>
    <col min="2312" max="2312" width="12.6" style="5" customWidth="1"/>
    <col min="2313" max="2313" width="9" style="5"/>
    <col min="2314" max="2314" width="11.5" style="5" customWidth="1"/>
    <col min="2315" max="2315" width="12.5" style="5" customWidth="1"/>
    <col min="2316" max="2320" width="9" style="5"/>
    <col min="2321" max="2321" width="12" style="5" customWidth="1"/>
    <col min="2322" max="2560" width="9" style="5"/>
    <col min="2561" max="2561" width="4.1" style="5" customWidth="1"/>
    <col min="2562" max="2562" width="7.1" style="5" customWidth="1"/>
    <col min="2563" max="2563" width="14.1" style="5" customWidth="1"/>
    <col min="2564" max="2564" width="16.1" style="5" customWidth="1"/>
    <col min="2565" max="2565" width="9" style="5"/>
    <col min="2566" max="2566" width="16.4" style="5" customWidth="1"/>
    <col min="2567" max="2567" width="9" style="5"/>
    <col min="2568" max="2568" width="12.6" style="5" customWidth="1"/>
    <col min="2569" max="2569" width="9" style="5"/>
    <col min="2570" max="2570" width="11.5" style="5" customWidth="1"/>
    <col min="2571" max="2571" width="12.5" style="5" customWidth="1"/>
    <col min="2572" max="2576" width="9" style="5"/>
    <col min="2577" max="2577" width="12" style="5" customWidth="1"/>
    <col min="2578" max="2816" width="9" style="5"/>
    <col min="2817" max="2817" width="4.1" style="5" customWidth="1"/>
    <col min="2818" max="2818" width="7.1" style="5" customWidth="1"/>
    <col min="2819" max="2819" width="14.1" style="5" customWidth="1"/>
    <col min="2820" max="2820" width="16.1" style="5" customWidth="1"/>
    <col min="2821" max="2821" width="9" style="5"/>
    <col min="2822" max="2822" width="16.4" style="5" customWidth="1"/>
    <col min="2823" max="2823" width="9" style="5"/>
    <col min="2824" max="2824" width="12.6" style="5" customWidth="1"/>
    <col min="2825" max="2825" width="9" style="5"/>
    <col min="2826" max="2826" width="11.5" style="5" customWidth="1"/>
    <col min="2827" max="2827" width="12.5" style="5" customWidth="1"/>
    <col min="2828" max="2832" width="9" style="5"/>
    <col min="2833" max="2833" width="12" style="5" customWidth="1"/>
    <col min="2834" max="3072" width="9" style="5"/>
    <col min="3073" max="3073" width="4.1" style="5" customWidth="1"/>
    <col min="3074" max="3074" width="7.1" style="5" customWidth="1"/>
    <col min="3075" max="3075" width="14.1" style="5" customWidth="1"/>
    <col min="3076" max="3076" width="16.1" style="5" customWidth="1"/>
    <col min="3077" max="3077" width="9" style="5"/>
    <col min="3078" max="3078" width="16.4" style="5" customWidth="1"/>
    <col min="3079" max="3079" width="9" style="5"/>
    <col min="3080" max="3080" width="12.6" style="5" customWidth="1"/>
    <col min="3081" max="3081" width="9" style="5"/>
    <col min="3082" max="3082" width="11.5" style="5" customWidth="1"/>
    <col min="3083" max="3083" width="12.5" style="5" customWidth="1"/>
    <col min="3084" max="3088" width="9" style="5"/>
    <col min="3089" max="3089" width="12" style="5" customWidth="1"/>
    <col min="3090" max="3328" width="9" style="5"/>
    <col min="3329" max="3329" width="4.1" style="5" customWidth="1"/>
    <col min="3330" max="3330" width="7.1" style="5" customWidth="1"/>
    <col min="3331" max="3331" width="14.1" style="5" customWidth="1"/>
    <col min="3332" max="3332" width="16.1" style="5" customWidth="1"/>
    <col min="3333" max="3333" width="9" style="5"/>
    <col min="3334" max="3334" width="16.4" style="5" customWidth="1"/>
    <col min="3335" max="3335" width="9" style="5"/>
    <col min="3336" max="3336" width="12.6" style="5" customWidth="1"/>
    <col min="3337" max="3337" width="9" style="5"/>
    <col min="3338" max="3338" width="11.5" style="5" customWidth="1"/>
    <col min="3339" max="3339" width="12.5" style="5" customWidth="1"/>
    <col min="3340" max="3344" width="9" style="5"/>
    <col min="3345" max="3345" width="12" style="5" customWidth="1"/>
    <col min="3346" max="3584" width="9" style="5"/>
    <col min="3585" max="3585" width="4.1" style="5" customWidth="1"/>
    <col min="3586" max="3586" width="7.1" style="5" customWidth="1"/>
    <col min="3587" max="3587" width="14.1" style="5" customWidth="1"/>
    <col min="3588" max="3588" width="16.1" style="5" customWidth="1"/>
    <col min="3589" max="3589" width="9" style="5"/>
    <col min="3590" max="3590" width="16.4" style="5" customWidth="1"/>
    <col min="3591" max="3591" width="9" style="5"/>
    <col min="3592" max="3592" width="12.6" style="5" customWidth="1"/>
    <col min="3593" max="3593" width="9" style="5"/>
    <col min="3594" max="3594" width="11.5" style="5" customWidth="1"/>
    <col min="3595" max="3595" width="12.5" style="5" customWidth="1"/>
    <col min="3596" max="3600" width="9" style="5"/>
    <col min="3601" max="3601" width="12" style="5" customWidth="1"/>
    <col min="3602" max="3840" width="9" style="5"/>
    <col min="3841" max="3841" width="4.1" style="5" customWidth="1"/>
    <col min="3842" max="3842" width="7.1" style="5" customWidth="1"/>
    <col min="3843" max="3843" width="14.1" style="5" customWidth="1"/>
    <col min="3844" max="3844" width="16.1" style="5" customWidth="1"/>
    <col min="3845" max="3845" width="9" style="5"/>
    <col min="3846" max="3846" width="16.4" style="5" customWidth="1"/>
    <col min="3847" max="3847" width="9" style="5"/>
    <col min="3848" max="3848" width="12.6" style="5" customWidth="1"/>
    <col min="3849" max="3849" width="9" style="5"/>
    <col min="3850" max="3850" width="11.5" style="5" customWidth="1"/>
    <col min="3851" max="3851" width="12.5" style="5" customWidth="1"/>
    <col min="3852" max="3856" width="9" style="5"/>
    <col min="3857" max="3857" width="12" style="5" customWidth="1"/>
    <col min="3858" max="4096" width="9" style="5"/>
    <col min="4097" max="4097" width="4.1" style="5" customWidth="1"/>
    <col min="4098" max="4098" width="7.1" style="5" customWidth="1"/>
    <col min="4099" max="4099" width="14.1" style="5" customWidth="1"/>
    <col min="4100" max="4100" width="16.1" style="5" customWidth="1"/>
    <col min="4101" max="4101" width="9" style="5"/>
    <col min="4102" max="4102" width="16.4" style="5" customWidth="1"/>
    <col min="4103" max="4103" width="9" style="5"/>
    <col min="4104" max="4104" width="12.6" style="5" customWidth="1"/>
    <col min="4105" max="4105" width="9" style="5"/>
    <col min="4106" max="4106" width="11.5" style="5" customWidth="1"/>
    <col min="4107" max="4107" width="12.5" style="5" customWidth="1"/>
    <col min="4108" max="4112" width="9" style="5"/>
    <col min="4113" max="4113" width="12" style="5" customWidth="1"/>
    <col min="4114" max="4352" width="9" style="5"/>
    <col min="4353" max="4353" width="4.1" style="5" customWidth="1"/>
    <col min="4354" max="4354" width="7.1" style="5" customWidth="1"/>
    <col min="4355" max="4355" width="14.1" style="5" customWidth="1"/>
    <col min="4356" max="4356" width="16.1" style="5" customWidth="1"/>
    <col min="4357" max="4357" width="9" style="5"/>
    <col min="4358" max="4358" width="16.4" style="5" customWidth="1"/>
    <col min="4359" max="4359" width="9" style="5"/>
    <col min="4360" max="4360" width="12.6" style="5" customWidth="1"/>
    <col min="4361" max="4361" width="9" style="5"/>
    <col min="4362" max="4362" width="11.5" style="5" customWidth="1"/>
    <col min="4363" max="4363" width="12.5" style="5" customWidth="1"/>
    <col min="4364" max="4368" width="9" style="5"/>
    <col min="4369" max="4369" width="12" style="5" customWidth="1"/>
    <col min="4370" max="4608" width="9" style="5"/>
    <col min="4609" max="4609" width="4.1" style="5" customWidth="1"/>
    <col min="4610" max="4610" width="7.1" style="5" customWidth="1"/>
    <col min="4611" max="4611" width="14.1" style="5" customWidth="1"/>
    <col min="4612" max="4612" width="16.1" style="5" customWidth="1"/>
    <col min="4613" max="4613" width="9" style="5"/>
    <col min="4614" max="4614" width="16.4" style="5" customWidth="1"/>
    <col min="4615" max="4615" width="9" style="5"/>
    <col min="4616" max="4616" width="12.6" style="5" customWidth="1"/>
    <col min="4617" max="4617" width="9" style="5"/>
    <col min="4618" max="4618" width="11.5" style="5" customWidth="1"/>
    <col min="4619" max="4619" width="12.5" style="5" customWidth="1"/>
    <col min="4620" max="4624" width="9" style="5"/>
    <col min="4625" max="4625" width="12" style="5" customWidth="1"/>
    <col min="4626" max="4864" width="9" style="5"/>
    <col min="4865" max="4865" width="4.1" style="5" customWidth="1"/>
    <col min="4866" max="4866" width="7.1" style="5" customWidth="1"/>
    <col min="4867" max="4867" width="14.1" style="5" customWidth="1"/>
    <col min="4868" max="4868" width="16.1" style="5" customWidth="1"/>
    <col min="4869" max="4869" width="9" style="5"/>
    <col min="4870" max="4870" width="16.4" style="5" customWidth="1"/>
    <col min="4871" max="4871" width="9" style="5"/>
    <col min="4872" max="4872" width="12.6" style="5" customWidth="1"/>
    <col min="4873" max="4873" width="9" style="5"/>
    <col min="4874" max="4874" width="11.5" style="5" customWidth="1"/>
    <col min="4875" max="4875" width="12.5" style="5" customWidth="1"/>
    <col min="4876" max="4880" width="9" style="5"/>
    <col min="4881" max="4881" width="12" style="5" customWidth="1"/>
    <col min="4882" max="5120" width="9" style="5"/>
    <col min="5121" max="5121" width="4.1" style="5" customWidth="1"/>
    <col min="5122" max="5122" width="7.1" style="5" customWidth="1"/>
    <col min="5123" max="5123" width="14.1" style="5" customWidth="1"/>
    <col min="5124" max="5124" width="16.1" style="5" customWidth="1"/>
    <col min="5125" max="5125" width="9" style="5"/>
    <col min="5126" max="5126" width="16.4" style="5" customWidth="1"/>
    <col min="5127" max="5127" width="9" style="5"/>
    <col min="5128" max="5128" width="12.6" style="5" customWidth="1"/>
    <col min="5129" max="5129" width="9" style="5"/>
    <col min="5130" max="5130" width="11.5" style="5" customWidth="1"/>
    <col min="5131" max="5131" width="12.5" style="5" customWidth="1"/>
    <col min="5132" max="5136" width="9" style="5"/>
    <col min="5137" max="5137" width="12" style="5" customWidth="1"/>
    <col min="5138" max="5376" width="9" style="5"/>
    <col min="5377" max="5377" width="4.1" style="5" customWidth="1"/>
    <col min="5378" max="5378" width="7.1" style="5" customWidth="1"/>
    <col min="5379" max="5379" width="14.1" style="5" customWidth="1"/>
    <col min="5380" max="5380" width="16.1" style="5" customWidth="1"/>
    <col min="5381" max="5381" width="9" style="5"/>
    <col min="5382" max="5382" width="16.4" style="5" customWidth="1"/>
    <col min="5383" max="5383" width="9" style="5"/>
    <col min="5384" max="5384" width="12.6" style="5" customWidth="1"/>
    <col min="5385" max="5385" width="9" style="5"/>
    <col min="5386" max="5386" width="11.5" style="5" customWidth="1"/>
    <col min="5387" max="5387" width="12.5" style="5" customWidth="1"/>
    <col min="5388" max="5392" width="9" style="5"/>
    <col min="5393" max="5393" width="12" style="5" customWidth="1"/>
    <col min="5394" max="5632" width="9" style="5"/>
    <col min="5633" max="5633" width="4.1" style="5" customWidth="1"/>
    <col min="5634" max="5634" width="7.1" style="5" customWidth="1"/>
    <col min="5635" max="5635" width="14.1" style="5" customWidth="1"/>
    <col min="5636" max="5636" width="16.1" style="5" customWidth="1"/>
    <col min="5637" max="5637" width="9" style="5"/>
    <col min="5638" max="5638" width="16.4" style="5" customWidth="1"/>
    <col min="5639" max="5639" width="9" style="5"/>
    <col min="5640" max="5640" width="12.6" style="5" customWidth="1"/>
    <col min="5641" max="5641" width="9" style="5"/>
    <col min="5642" max="5642" width="11.5" style="5" customWidth="1"/>
    <col min="5643" max="5643" width="12.5" style="5" customWidth="1"/>
    <col min="5644" max="5648" width="9" style="5"/>
    <col min="5649" max="5649" width="12" style="5" customWidth="1"/>
    <col min="5650" max="5888" width="9" style="5"/>
    <col min="5889" max="5889" width="4.1" style="5" customWidth="1"/>
    <col min="5890" max="5890" width="7.1" style="5" customWidth="1"/>
    <col min="5891" max="5891" width="14.1" style="5" customWidth="1"/>
    <col min="5892" max="5892" width="16.1" style="5" customWidth="1"/>
    <col min="5893" max="5893" width="9" style="5"/>
    <col min="5894" max="5894" width="16.4" style="5" customWidth="1"/>
    <col min="5895" max="5895" width="9" style="5"/>
    <col min="5896" max="5896" width="12.6" style="5" customWidth="1"/>
    <col min="5897" max="5897" width="9" style="5"/>
    <col min="5898" max="5898" width="11.5" style="5" customWidth="1"/>
    <col min="5899" max="5899" width="12.5" style="5" customWidth="1"/>
    <col min="5900" max="5904" width="9" style="5"/>
    <col min="5905" max="5905" width="12" style="5" customWidth="1"/>
    <col min="5906" max="6144" width="9" style="5"/>
    <col min="6145" max="6145" width="4.1" style="5" customWidth="1"/>
    <col min="6146" max="6146" width="7.1" style="5" customWidth="1"/>
    <col min="6147" max="6147" width="14.1" style="5" customWidth="1"/>
    <col min="6148" max="6148" width="16.1" style="5" customWidth="1"/>
    <col min="6149" max="6149" width="9" style="5"/>
    <col min="6150" max="6150" width="16.4" style="5" customWidth="1"/>
    <col min="6151" max="6151" width="9" style="5"/>
    <col min="6152" max="6152" width="12.6" style="5" customWidth="1"/>
    <col min="6153" max="6153" width="9" style="5"/>
    <col min="6154" max="6154" width="11.5" style="5" customWidth="1"/>
    <col min="6155" max="6155" width="12.5" style="5" customWidth="1"/>
    <col min="6156" max="6160" width="9" style="5"/>
    <col min="6161" max="6161" width="12" style="5" customWidth="1"/>
    <col min="6162" max="6400" width="9" style="5"/>
    <col min="6401" max="6401" width="4.1" style="5" customWidth="1"/>
    <col min="6402" max="6402" width="7.1" style="5" customWidth="1"/>
    <col min="6403" max="6403" width="14.1" style="5" customWidth="1"/>
    <col min="6404" max="6404" width="16.1" style="5" customWidth="1"/>
    <col min="6405" max="6405" width="9" style="5"/>
    <col min="6406" max="6406" width="16.4" style="5" customWidth="1"/>
    <col min="6407" max="6407" width="9" style="5"/>
    <col min="6408" max="6408" width="12.6" style="5" customWidth="1"/>
    <col min="6409" max="6409" width="9" style="5"/>
    <col min="6410" max="6410" width="11.5" style="5" customWidth="1"/>
    <col min="6411" max="6411" width="12.5" style="5" customWidth="1"/>
    <col min="6412" max="6416" width="9" style="5"/>
    <col min="6417" max="6417" width="12" style="5" customWidth="1"/>
    <col min="6418" max="6656" width="9" style="5"/>
    <col min="6657" max="6657" width="4.1" style="5" customWidth="1"/>
    <col min="6658" max="6658" width="7.1" style="5" customWidth="1"/>
    <col min="6659" max="6659" width="14.1" style="5" customWidth="1"/>
    <col min="6660" max="6660" width="16.1" style="5" customWidth="1"/>
    <col min="6661" max="6661" width="9" style="5"/>
    <col min="6662" max="6662" width="16.4" style="5" customWidth="1"/>
    <col min="6663" max="6663" width="9" style="5"/>
    <col min="6664" max="6664" width="12.6" style="5" customWidth="1"/>
    <col min="6665" max="6665" width="9" style="5"/>
    <col min="6666" max="6666" width="11.5" style="5" customWidth="1"/>
    <col min="6667" max="6667" width="12.5" style="5" customWidth="1"/>
    <col min="6668" max="6672" width="9" style="5"/>
    <col min="6673" max="6673" width="12" style="5" customWidth="1"/>
    <col min="6674" max="6912" width="9" style="5"/>
    <col min="6913" max="6913" width="4.1" style="5" customWidth="1"/>
    <col min="6914" max="6914" width="7.1" style="5" customWidth="1"/>
    <col min="6915" max="6915" width="14.1" style="5" customWidth="1"/>
    <col min="6916" max="6916" width="16.1" style="5" customWidth="1"/>
    <col min="6917" max="6917" width="9" style="5"/>
    <col min="6918" max="6918" width="16.4" style="5" customWidth="1"/>
    <col min="6919" max="6919" width="9" style="5"/>
    <col min="6920" max="6920" width="12.6" style="5" customWidth="1"/>
    <col min="6921" max="6921" width="9" style="5"/>
    <col min="6922" max="6922" width="11.5" style="5" customWidth="1"/>
    <col min="6923" max="6923" width="12.5" style="5" customWidth="1"/>
    <col min="6924" max="6928" width="9" style="5"/>
    <col min="6929" max="6929" width="12" style="5" customWidth="1"/>
    <col min="6930" max="7168" width="9" style="5"/>
    <col min="7169" max="7169" width="4.1" style="5" customWidth="1"/>
    <col min="7170" max="7170" width="7.1" style="5" customWidth="1"/>
    <col min="7171" max="7171" width="14.1" style="5" customWidth="1"/>
    <col min="7172" max="7172" width="16.1" style="5" customWidth="1"/>
    <col min="7173" max="7173" width="9" style="5"/>
    <col min="7174" max="7174" width="16.4" style="5" customWidth="1"/>
    <col min="7175" max="7175" width="9" style="5"/>
    <col min="7176" max="7176" width="12.6" style="5" customWidth="1"/>
    <col min="7177" max="7177" width="9" style="5"/>
    <col min="7178" max="7178" width="11.5" style="5" customWidth="1"/>
    <col min="7179" max="7179" width="12.5" style="5" customWidth="1"/>
    <col min="7180" max="7184" width="9" style="5"/>
    <col min="7185" max="7185" width="12" style="5" customWidth="1"/>
    <col min="7186" max="7424" width="9" style="5"/>
    <col min="7425" max="7425" width="4.1" style="5" customWidth="1"/>
    <col min="7426" max="7426" width="7.1" style="5" customWidth="1"/>
    <col min="7427" max="7427" width="14.1" style="5" customWidth="1"/>
    <col min="7428" max="7428" width="16.1" style="5" customWidth="1"/>
    <col min="7429" max="7429" width="9" style="5"/>
    <col min="7430" max="7430" width="16.4" style="5" customWidth="1"/>
    <col min="7431" max="7431" width="9" style="5"/>
    <col min="7432" max="7432" width="12.6" style="5" customWidth="1"/>
    <col min="7433" max="7433" width="9" style="5"/>
    <col min="7434" max="7434" width="11.5" style="5" customWidth="1"/>
    <col min="7435" max="7435" width="12.5" style="5" customWidth="1"/>
    <col min="7436" max="7440" width="9" style="5"/>
    <col min="7441" max="7441" width="12" style="5" customWidth="1"/>
    <col min="7442" max="7680" width="9" style="5"/>
    <col min="7681" max="7681" width="4.1" style="5" customWidth="1"/>
    <col min="7682" max="7682" width="7.1" style="5" customWidth="1"/>
    <col min="7683" max="7683" width="14.1" style="5" customWidth="1"/>
    <col min="7684" max="7684" width="16.1" style="5" customWidth="1"/>
    <col min="7685" max="7685" width="9" style="5"/>
    <col min="7686" max="7686" width="16.4" style="5" customWidth="1"/>
    <col min="7687" max="7687" width="9" style="5"/>
    <col min="7688" max="7688" width="12.6" style="5" customWidth="1"/>
    <col min="7689" max="7689" width="9" style="5"/>
    <col min="7690" max="7690" width="11.5" style="5" customWidth="1"/>
    <col min="7691" max="7691" width="12.5" style="5" customWidth="1"/>
    <col min="7692" max="7696" width="9" style="5"/>
    <col min="7697" max="7697" width="12" style="5" customWidth="1"/>
    <col min="7698" max="7936" width="9" style="5"/>
    <col min="7937" max="7937" width="4.1" style="5" customWidth="1"/>
    <col min="7938" max="7938" width="7.1" style="5" customWidth="1"/>
    <col min="7939" max="7939" width="14.1" style="5" customWidth="1"/>
    <col min="7940" max="7940" width="16.1" style="5" customWidth="1"/>
    <col min="7941" max="7941" width="9" style="5"/>
    <col min="7942" max="7942" width="16.4" style="5" customWidth="1"/>
    <col min="7943" max="7943" width="9" style="5"/>
    <col min="7944" max="7944" width="12.6" style="5" customWidth="1"/>
    <col min="7945" max="7945" width="9" style="5"/>
    <col min="7946" max="7946" width="11.5" style="5" customWidth="1"/>
    <col min="7947" max="7947" width="12.5" style="5" customWidth="1"/>
    <col min="7948" max="7952" width="9" style="5"/>
    <col min="7953" max="7953" width="12" style="5" customWidth="1"/>
    <col min="7954" max="8192" width="9" style="5"/>
    <col min="8193" max="8193" width="4.1" style="5" customWidth="1"/>
    <col min="8194" max="8194" width="7.1" style="5" customWidth="1"/>
    <col min="8195" max="8195" width="14.1" style="5" customWidth="1"/>
    <col min="8196" max="8196" width="16.1" style="5" customWidth="1"/>
    <col min="8197" max="8197" width="9" style="5"/>
    <col min="8198" max="8198" width="16.4" style="5" customWidth="1"/>
    <col min="8199" max="8199" width="9" style="5"/>
    <col min="8200" max="8200" width="12.6" style="5" customWidth="1"/>
    <col min="8201" max="8201" width="9" style="5"/>
    <col min="8202" max="8202" width="11.5" style="5" customWidth="1"/>
    <col min="8203" max="8203" width="12.5" style="5" customWidth="1"/>
    <col min="8204" max="8208" width="9" style="5"/>
    <col min="8209" max="8209" width="12" style="5" customWidth="1"/>
    <col min="8210" max="8448" width="9" style="5"/>
    <col min="8449" max="8449" width="4.1" style="5" customWidth="1"/>
    <col min="8450" max="8450" width="7.1" style="5" customWidth="1"/>
    <col min="8451" max="8451" width="14.1" style="5" customWidth="1"/>
    <col min="8452" max="8452" width="16.1" style="5" customWidth="1"/>
    <col min="8453" max="8453" width="9" style="5"/>
    <col min="8454" max="8454" width="16.4" style="5" customWidth="1"/>
    <col min="8455" max="8455" width="9" style="5"/>
    <col min="8456" max="8456" width="12.6" style="5" customWidth="1"/>
    <col min="8457" max="8457" width="9" style="5"/>
    <col min="8458" max="8458" width="11.5" style="5" customWidth="1"/>
    <col min="8459" max="8459" width="12.5" style="5" customWidth="1"/>
    <col min="8460" max="8464" width="9" style="5"/>
    <col min="8465" max="8465" width="12" style="5" customWidth="1"/>
    <col min="8466" max="8704" width="9" style="5"/>
    <col min="8705" max="8705" width="4.1" style="5" customWidth="1"/>
    <col min="8706" max="8706" width="7.1" style="5" customWidth="1"/>
    <col min="8707" max="8707" width="14.1" style="5" customWidth="1"/>
    <col min="8708" max="8708" width="16.1" style="5" customWidth="1"/>
    <col min="8709" max="8709" width="9" style="5"/>
    <col min="8710" max="8710" width="16.4" style="5" customWidth="1"/>
    <col min="8711" max="8711" width="9" style="5"/>
    <col min="8712" max="8712" width="12.6" style="5" customWidth="1"/>
    <col min="8713" max="8713" width="9" style="5"/>
    <col min="8714" max="8714" width="11.5" style="5" customWidth="1"/>
    <col min="8715" max="8715" width="12.5" style="5" customWidth="1"/>
    <col min="8716" max="8720" width="9" style="5"/>
    <col min="8721" max="8721" width="12" style="5" customWidth="1"/>
    <col min="8722" max="8960" width="9" style="5"/>
    <col min="8961" max="8961" width="4.1" style="5" customWidth="1"/>
    <col min="8962" max="8962" width="7.1" style="5" customWidth="1"/>
    <col min="8963" max="8963" width="14.1" style="5" customWidth="1"/>
    <col min="8964" max="8964" width="16.1" style="5" customWidth="1"/>
    <col min="8965" max="8965" width="9" style="5"/>
    <col min="8966" max="8966" width="16.4" style="5" customWidth="1"/>
    <col min="8967" max="8967" width="9" style="5"/>
    <col min="8968" max="8968" width="12.6" style="5" customWidth="1"/>
    <col min="8969" max="8969" width="9" style="5"/>
    <col min="8970" max="8970" width="11.5" style="5" customWidth="1"/>
    <col min="8971" max="8971" width="12.5" style="5" customWidth="1"/>
    <col min="8972" max="8976" width="9" style="5"/>
    <col min="8977" max="8977" width="12" style="5" customWidth="1"/>
    <col min="8978" max="9216" width="9" style="5"/>
    <col min="9217" max="9217" width="4.1" style="5" customWidth="1"/>
    <col min="9218" max="9218" width="7.1" style="5" customWidth="1"/>
    <col min="9219" max="9219" width="14.1" style="5" customWidth="1"/>
    <col min="9220" max="9220" width="16.1" style="5" customWidth="1"/>
    <col min="9221" max="9221" width="9" style="5"/>
    <col min="9222" max="9222" width="16.4" style="5" customWidth="1"/>
    <col min="9223" max="9223" width="9" style="5"/>
    <col min="9224" max="9224" width="12.6" style="5" customWidth="1"/>
    <col min="9225" max="9225" width="9" style="5"/>
    <col min="9226" max="9226" width="11.5" style="5" customWidth="1"/>
    <col min="9227" max="9227" width="12.5" style="5" customWidth="1"/>
    <col min="9228" max="9232" width="9" style="5"/>
    <col min="9233" max="9233" width="12" style="5" customWidth="1"/>
    <col min="9234" max="9472" width="9" style="5"/>
    <col min="9473" max="9473" width="4.1" style="5" customWidth="1"/>
    <col min="9474" max="9474" width="7.1" style="5" customWidth="1"/>
    <col min="9475" max="9475" width="14.1" style="5" customWidth="1"/>
    <col min="9476" max="9476" width="16.1" style="5" customWidth="1"/>
    <col min="9477" max="9477" width="9" style="5"/>
    <col min="9478" max="9478" width="16.4" style="5" customWidth="1"/>
    <col min="9479" max="9479" width="9" style="5"/>
    <col min="9480" max="9480" width="12.6" style="5" customWidth="1"/>
    <col min="9481" max="9481" width="9" style="5"/>
    <col min="9482" max="9482" width="11.5" style="5" customWidth="1"/>
    <col min="9483" max="9483" width="12.5" style="5" customWidth="1"/>
    <col min="9484" max="9488" width="9" style="5"/>
    <col min="9489" max="9489" width="12" style="5" customWidth="1"/>
    <col min="9490" max="9728" width="9" style="5"/>
    <col min="9729" max="9729" width="4.1" style="5" customWidth="1"/>
    <col min="9730" max="9730" width="7.1" style="5" customWidth="1"/>
    <col min="9731" max="9731" width="14.1" style="5" customWidth="1"/>
    <col min="9732" max="9732" width="16.1" style="5" customWidth="1"/>
    <col min="9733" max="9733" width="9" style="5"/>
    <col min="9734" max="9734" width="16.4" style="5" customWidth="1"/>
    <col min="9735" max="9735" width="9" style="5"/>
    <col min="9736" max="9736" width="12.6" style="5" customWidth="1"/>
    <col min="9737" max="9737" width="9" style="5"/>
    <col min="9738" max="9738" width="11.5" style="5" customWidth="1"/>
    <col min="9739" max="9739" width="12.5" style="5" customWidth="1"/>
    <col min="9740" max="9744" width="9" style="5"/>
    <col min="9745" max="9745" width="12" style="5" customWidth="1"/>
    <col min="9746" max="9984" width="9" style="5"/>
    <col min="9985" max="9985" width="4.1" style="5" customWidth="1"/>
    <col min="9986" max="9986" width="7.1" style="5" customWidth="1"/>
    <col min="9987" max="9987" width="14.1" style="5" customWidth="1"/>
    <col min="9988" max="9988" width="16.1" style="5" customWidth="1"/>
    <col min="9989" max="9989" width="9" style="5"/>
    <col min="9990" max="9990" width="16.4" style="5" customWidth="1"/>
    <col min="9991" max="9991" width="9" style="5"/>
    <col min="9992" max="9992" width="12.6" style="5" customWidth="1"/>
    <col min="9993" max="9993" width="9" style="5"/>
    <col min="9994" max="9994" width="11.5" style="5" customWidth="1"/>
    <col min="9995" max="9995" width="12.5" style="5" customWidth="1"/>
    <col min="9996" max="10000" width="9" style="5"/>
    <col min="10001" max="10001" width="12" style="5" customWidth="1"/>
    <col min="10002" max="10240" width="9" style="5"/>
    <col min="10241" max="10241" width="4.1" style="5" customWidth="1"/>
    <col min="10242" max="10242" width="7.1" style="5" customWidth="1"/>
    <col min="10243" max="10243" width="14.1" style="5" customWidth="1"/>
    <col min="10244" max="10244" width="16.1" style="5" customWidth="1"/>
    <col min="10245" max="10245" width="9" style="5"/>
    <col min="10246" max="10246" width="16.4" style="5" customWidth="1"/>
    <col min="10247" max="10247" width="9" style="5"/>
    <col min="10248" max="10248" width="12.6" style="5" customWidth="1"/>
    <col min="10249" max="10249" width="9" style="5"/>
    <col min="10250" max="10250" width="11.5" style="5" customWidth="1"/>
    <col min="10251" max="10251" width="12.5" style="5" customWidth="1"/>
    <col min="10252" max="10256" width="9" style="5"/>
    <col min="10257" max="10257" width="12" style="5" customWidth="1"/>
    <col min="10258" max="10496" width="9" style="5"/>
    <col min="10497" max="10497" width="4.1" style="5" customWidth="1"/>
    <col min="10498" max="10498" width="7.1" style="5" customWidth="1"/>
    <col min="10499" max="10499" width="14.1" style="5" customWidth="1"/>
    <col min="10500" max="10500" width="16.1" style="5" customWidth="1"/>
    <col min="10501" max="10501" width="9" style="5"/>
    <col min="10502" max="10502" width="16.4" style="5" customWidth="1"/>
    <col min="10503" max="10503" width="9" style="5"/>
    <col min="10504" max="10504" width="12.6" style="5" customWidth="1"/>
    <col min="10505" max="10505" width="9" style="5"/>
    <col min="10506" max="10506" width="11.5" style="5" customWidth="1"/>
    <col min="10507" max="10507" width="12.5" style="5" customWidth="1"/>
    <col min="10508" max="10512" width="9" style="5"/>
    <col min="10513" max="10513" width="12" style="5" customWidth="1"/>
    <col min="10514" max="10752" width="9" style="5"/>
    <col min="10753" max="10753" width="4.1" style="5" customWidth="1"/>
    <col min="10754" max="10754" width="7.1" style="5" customWidth="1"/>
    <col min="10755" max="10755" width="14.1" style="5" customWidth="1"/>
    <col min="10756" max="10756" width="16.1" style="5" customWidth="1"/>
    <col min="10757" max="10757" width="9" style="5"/>
    <col min="10758" max="10758" width="16.4" style="5" customWidth="1"/>
    <col min="10759" max="10759" width="9" style="5"/>
    <col min="10760" max="10760" width="12.6" style="5" customWidth="1"/>
    <col min="10761" max="10761" width="9" style="5"/>
    <col min="10762" max="10762" width="11.5" style="5" customWidth="1"/>
    <col min="10763" max="10763" width="12.5" style="5" customWidth="1"/>
    <col min="10764" max="10768" width="9" style="5"/>
    <col min="10769" max="10769" width="12" style="5" customWidth="1"/>
    <col min="10770" max="11008" width="9" style="5"/>
    <col min="11009" max="11009" width="4.1" style="5" customWidth="1"/>
    <col min="11010" max="11010" width="7.1" style="5" customWidth="1"/>
    <col min="11011" max="11011" width="14.1" style="5" customWidth="1"/>
    <col min="11012" max="11012" width="16.1" style="5" customWidth="1"/>
    <col min="11013" max="11013" width="9" style="5"/>
    <col min="11014" max="11014" width="16.4" style="5" customWidth="1"/>
    <col min="11015" max="11015" width="9" style="5"/>
    <col min="11016" max="11016" width="12.6" style="5" customWidth="1"/>
    <col min="11017" max="11017" width="9" style="5"/>
    <col min="11018" max="11018" width="11.5" style="5" customWidth="1"/>
    <col min="11019" max="11019" width="12.5" style="5" customWidth="1"/>
    <col min="11020" max="11024" width="9" style="5"/>
    <col min="11025" max="11025" width="12" style="5" customWidth="1"/>
    <col min="11026" max="11264" width="9" style="5"/>
    <col min="11265" max="11265" width="4.1" style="5" customWidth="1"/>
    <col min="11266" max="11266" width="7.1" style="5" customWidth="1"/>
    <col min="11267" max="11267" width="14.1" style="5" customWidth="1"/>
    <col min="11268" max="11268" width="16.1" style="5" customWidth="1"/>
    <col min="11269" max="11269" width="9" style="5"/>
    <col min="11270" max="11270" width="16.4" style="5" customWidth="1"/>
    <col min="11271" max="11271" width="9" style="5"/>
    <col min="11272" max="11272" width="12.6" style="5" customWidth="1"/>
    <col min="11273" max="11273" width="9" style="5"/>
    <col min="11274" max="11274" width="11.5" style="5" customWidth="1"/>
    <col min="11275" max="11275" width="12.5" style="5" customWidth="1"/>
    <col min="11276" max="11280" width="9" style="5"/>
    <col min="11281" max="11281" width="12" style="5" customWidth="1"/>
    <col min="11282" max="11520" width="9" style="5"/>
    <col min="11521" max="11521" width="4.1" style="5" customWidth="1"/>
    <col min="11522" max="11522" width="7.1" style="5" customWidth="1"/>
    <col min="11523" max="11523" width="14.1" style="5" customWidth="1"/>
    <col min="11524" max="11524" width="16.1" style="5" customWidth="1"/>
    <col min="11525" max="11525" width="9" style="5"/>
    <col min="11526" max="11526" width="16.4" style="5" customWidth="1"/>
    <col min="11527" max="11527" width="9" style="5"/>
    <col min="11528" max="11528" width="12.6" style="5" customWidth="1"/>
    <col min="11529" max="11529" width="9" style="5"/>
    <col min="11530" max="11530" width="11.5" style="5" customWidth="1"/>
    <col min="11531" max="11531" width="12.5" style="5" customWidth="1"/>
    <col min="11532" max="11536" width="9" style="5"/>
    <col min="11537" max="11537" width="12" style="5" customWidth="1"/>
    <col min="11538" max="11776" width="9" style="5"/>
    <col min="11777" max="11777" width="4.1" style="5" customWidth="1"/>
    <col min="11778" max="11778" width="7.1" style="5" customWidth="1"/>
    <col min="11779" max="11779" width="14.1" style="5" customWidth="1"/>
    <col min="11780" max="11780" width="16.1" style="5" customWidth="1"/>
    <col min="11781" max="11781" width="9" style="5"/>
    <col min="11782" max="11782" width="16.4" style="5" customWidth="1"/>
    <col min="11783" max="11783" width="9" style="5"/>
    <col min="11784" max="11784" width="12.6" style="5" customWidth="1"/>
    <col min="11785" max="11785" width="9" style="5"/>
    <col min="11786" max="11786" width="11.5" style="5" customWidth="1"/>
    <col min="11787" max="11787" width="12.5" style="5" customWidth="1"/>
    <col min="11788" max="11792" width="9" style="5"/>
    <col min="11793" max="11793" width="12" style="5" customWidth="1"/>
    <col min="11794" max="12032" width="9" style="5"/>
    <col min="12033" max="12033" width="4.1" style="5" customWidth="1"/>
    <col min="12034" max="12034" width="7.1" style="5" customWidth="1"/>
    <col min="12035" max="12035" width="14.1" style="5" customWidth="1"/>
    <col min="12036" max="12036" width="16.1" style="5" customWidth="1"/>
    <col min="12037" max="12037" width="9" style="5"/>
    <col min="12038" max="12038" width="16.4" style="5" customWidth="1"/>
    <col min="12039" max="12039" width="9" style="5"/>
    <col min="12040" max="12040" width="12.6" style="5" customWidth="1"/>
    <col min="12041" max="12041" width="9" style="5"/>
    <col min="12042" max="12042" width="11.5" style="5" customWidth="1"/>
    <col min="12043" max="12043" width="12.5" style="5" customWidth="1"/>
    <col min="12044" max="12048" width="9" style="5"/>
    <col min="12049" max="12049" width="12" style="5" customWidth="1"/>
    <col min="12050" max="12288" width="9" style="5"/>
    <col min="12289" max="12289" width="4.1" style="5" customWidth="1"/>
    <col min="12290" max="12290" width="7.1" style="5" customWidth="1"/>
    <col min="12291" max="12291" width="14.1" style="5" customWidth="1"/>
    <col min="12292" max="12292" width="16.1" style="5" customWidth="1"/>
    <col min="12293" max="12293" width="9" style="5"/>
    <col min="12294" max="12294" width="16.4" style="5" customWidth="1"/>
    <col min="12295" max="12295" width="9" style="5"/>
    <col min="12296" max="12296" width="12.6" style="5" customWidth="1"/>
    <col min="12297" max="12297" width="9" style="5"/>
    <col min="12298" max="12298" width="11.5" style="5" customWidth="1"/>
    <col min="12299" max="12299" width="12.5" style="5" customWidth="1"/>
    <col min="12300" max="12304" width="9" style="5"/>
    <col min="12305" max="12305" width="12" style="5" customWidth="1"/>
    <col min="12306" max="12544" width="9" style="5"/>
    <col min="12545" max="12545" width="4.1" style="5" customWidth="1"/>
    <col min="12546" max="12546" width="7.1" style="5" customWidth="1"/>
    <col min="12547" max="12547" width="14.1" style="5" customWidth="1"/>
    <col min="12548" max="12548" width="16.1" style="5" customWidth="1"/>
    <col min="12549" max="12549" width="9" style="5"/>
    <col min="12550" max="12550" width="16.4" style="5" customWidth="1"/>
    <col min="12551" max="12551" width="9" style="5"/>
    <col min="12552" max="12552" width="12.6" style="5" customWidth="1"/>
    <col min="12553" max="12553" width="9" style="5"/>
    <col min="12554" max="12554" width="11.5" style="5" customWidth="1"/>
    <col min="12555" max="12555" width="12.5" style="5" customWidth="1"/>
    <col min="12556" max="12560" width="9" style="5"/>
    <col min="12561" max="12561" width="12" style="5" customWidth="1"/>
    <col min="12562" max="12800" width="9" style="5"/>
    <col min="12801" max="12801" width="4.1" style="5" customWidth="1"/>
    <col min="12802" max="12802" width="7.1" style="5" customWidth="1"/>
    <col min="12803" max="12803" width="14.1" style="5" customWidth="1"/>
    <col min="12804" max="12804" width="16.1" style="5" customWidth="1"/>
    <col min="12805" max="12805" width="9" style="5"/>
    <col min="12806" max="12806" width="16.4" style="5" customWidth="1"/>
    <col min="12807" max="12807" width="9" style="5"/>
    <col min="12808" max="12808" width="12.6" style="5" customWidth="1"/>
    <col min="12809" max="12809" width="9" style="5"/>
    <col min="12810" max="12810" width="11.5" style="5" customWidth="1"/>
    <col min="12811" max="12811" width="12.5" style="5" customWidth="1"/>
    <col min="12812" max="12816" width="9" style="5"/>
    <col min="12817" max="12817" width="12" style="5" customWidth="1"/>
    <col min="12818" max="13056" width="9" style="5"/>
    <col min="13057" max="13057" width="4.1" style="5" customWidth="1"/>
    <col min="13058" max="13058" width="7.1" style="5" customWidth="1"/>
    <col min="13059" max="13059" width="14.1" style="5" customWidth="1"/>
    <col min="13060" max="13060" width="16.1" style="5" customWidth="1"/>
    <col min="13061" max="13061" width="9" style="5"/>
    <col min="13062" max="13062" width="16.4" style="5" customWidth="1"/>
    <col min="13063" max="13063" width="9" style="5"/>
    <col min="13064" max="13064" width="12.6" style="5" customWidth="1"/>
    <col min="13065" max="13065" width="9" style="5"/>
    <col min="13066" max="13066" width="11.5" style="5" customWidth="1"/>
    <col min="13067" max="13067" width="12.5" style="5" customWidth="1"/>
    <col min="13068" max="13072" width="9" style="5"/>
    <col min="13073" max="13073" width="12" style="5" customWidth="1"/>
    <col min="13074" max="13312" width="9" style="5"/>
    <col min="13313" max="13313" width="4.1" style="5" customWidth="1"/>
    <col min="13314" max="13314" width="7.1" style="5" customWidth="1"/>
    <col min="13315" max="13315" width="14.1" style="5" customWidth="1"/>
    <col min="13316" max="13316" width="16.1" style="5" customWidth="1"/>
    <col min="13317" max="13317" width="9" style="5"/>
    <col min="13318" max="13318" width="16.4" style="5" customWidth="1"/>
    <col min="13319" max="13319" width="9" style="5"/>
    <col min="13320" max="13320" width="12.6" style="5" customWidth="1"/>
    <col min="13321" max="13321" width="9" style="5"/>
    <col min="13322" max="13322" width="11.5" style="5" customWidth="1"/>
    <col min="13323" max="13323" width="12.5" style="5" customWidth="1"/>
    <col min="13324" max="13328" width="9" style="5"/>
    <col min="13329" max="13329" width="12" style="5" customWidth="1"/>
    <col min="13330" max="13568" width="9" style="5"/>
    <col min="13569" max="13569" width="4.1" style="5" customWidth="1"/>
    <col min="13570" max="13570" width="7.1" style="5" customWidth="1"/>
    <col min="13571" max="13571" width="14.1" style="5" customWidth="1"/>
    <col min="13572" max="13572" width="16.1" style="5" customWidth="1"/>
    <col min="13573" max="13573" width="9" style="5"/>
    <col min="13574" max="13574" width="16.4" style="5" customWidth="1"/>
    <col min="13575" max="13575" width="9" style="5"/>
    <col min="13576" max="13576" width="12.6" style="5" customWidth="1"/>
    <col min="13577" max="13577" width="9" style="5"/>
    <col min="13578" max="13578" width="11.5" style="5" customWidth="1"/>
    <col min="13579" max="13579" width="12.5" style="5" customWidth="1"/>
    <col min="13580" max="13584" width="9" style="5"/>
    <col min="13585" max="13585" width="12" style="5" customWidth="1"/>
    <col min="13586" max="13824" width="9" style="5"/>
    <col min="13825" max="13825" width="4.1" style="5" customWidth="1"/>
    <col min="13826" max="13826" width="7.1" style="5" customWidth="1"/>
    <col min="13827" max="13827" width="14.1" style="5" customWidth="1"/>
    <col min="13828" max="13828" width="16.1" style="5" customWidth="1"/>
    <col min="13829" max="13829" width="9" style="5"/>
    <col min="13830" max="13830" width="16.4" style="5" customWidth="1"/>
    <col min="13831" max="13831" width="9" style="5"/>
    <col min="13832" max="13832" width="12.6" style="5" customWidth="1"/>
    <col min="13833" max="13833" width="9" style="5"/>
    <col min="13834" max="13834" width="11.5" style="5" customWidth="1"/>
    <col min="13835" max="13835" width="12.5" style="5" customWidth="1"/>
    <col min="13836" max="13840" width="9" style="5"/>
    <col min="13841" max="13841" width="12" style="5" customWidth="1"/>
    <col min="13842" max="14080" width="9" style="5"/>
    <col min="14081" max="14081" width="4.1" style="5" customWidth="1"/>
    <col min="14082" max="14082" width="7.1" style="5" customWidth="1"/>
    <col min="14083" max="14083" width="14.1" style="5" customWidth="1"/>
    <col min="14084" max="14084" width="16.1" style="5" customWidth="1"/>
    <col min="14085" max="14085" width="9" style="5"/>
    <col min="14086" max="14086" width="16.4" style="5" customWidth="1"/>
    <col min="14087" max="14087" width="9" style="5"/>
    <col min="14088" max="14088" width="12.6" style="5" customWidth="1"/>
    <col min="14089" max="14089" width="9" style="5"/>
    <col min="14090" max="14090" width="11.5" style="5" customWidth="1"/>
    <col min="14091" max="14091" width="12.5" style="5" customWidth="1"/>
    <col min="14092" max="14096" width="9" style="5"/>
    <col min="14097" max="14097" width="12" style="5" customWidth="1"/>
    <col min="14098" max="14336" width="9" style="5"/>
    <col min="14337" max="14337" width="4.1" style="5" customWidth="1"/>
    <col min="14338" max="14338" width="7.1" style="5" customWidth="1"/>
    <col min="14339" max="14339" width="14.1" style="5" customWidth="1"/>
    <col min="14340" max="14340" width="16.1" style="5" customWidth="1"/>
    <col min="14341" max="14341" width="9" style="5"/>
    <col min="14342" max="14342" width="16.4" style="5" customWidth="1"/>
    <col min="14343" max="14343" width="9" style="5"/>
    <col min="14344" max="14344" width="12.6" style="5" customWidth="1"/>
    <col min="14345" max="14345" width="9" style="5"/>
    <col min="14346" max="14346" width="11.5" style="5" customWidth="1"/>
    <col min="14347" max="14347" width="12.5" style="5" customWidth="1"/>
    <col min="14348" max="14352" width="9" style="5"/>
    <col min="14353" max="14353" width="12" style="5" customWidth="1"/>
    <col min="14354" max="14592" width="9" style="5"/>
    <col min="14593" max="14593" width="4.1" style="5" customWidth="1"/>
    <col min="14594" max="14594" width="7.1" style="5" customWidth="1"/>
    <col min="14595" max="14595" width="14.1" style="5" customWidth="1"/>
    <col min="14596" max="14596" width="16.1" style="5" customWidth="1"/>
    <col min="14597" max="14597" width="9" style="5"/>
    <col min="14598" max="14598" width="16.4" style="5" customWidth="1"/>
    <col min="14599" max="14599" width="9" style="5"/>
    <col min="14600" max="14600" width="12.6" style="5" customWidth="1"/>
    <col min="14601" max="14601" width="9" style="5"/>
    <col min="14602" max="14602" width="11.5" style="5" customWidth="1"/>
    <col min="14603" max="14603" width="12.5" style="5" customWidth="1"/>
    <col min="14604" max="14608" width="9" style="5"/>
    <col min="14609" max="14609" width="12" style="5" customWidth="1"/>
    <col min="14610" max="14848" width="9" style="5"/>
    <col min="14849" max="14849" width="4.1" style="5" customWidth="1"/>
    <col min="14850" max="14850" width="7.1" style="5" customWidth="1"/>
    <col min="14851" max="14851" width="14.1" style="5" customWidth="1"/>
    <col min="14852" max="14852" width="16.1" style="5" customWidth="1"/>
    <col min="14853" max="14853" width="9" style="5"/>
    <col min="14854" max="14854" width="16.4" style="5" customWidth="1"/>
    <col min="14855" max="14855" width="9" style="5"/>
    <col min="14856" max="14856" width="12.6" style="5" customWidth="1"/>
    <col min="14857" max="14857" width="9" style="5"/>
    <col min="14858" max="14858" width="11.5" style="5" customWidth="1"/>
    <col min="14859" max="14859" width="12.5" style="5" customWidth="1"/>
    <col min="14860" max="14864" width="9" style="5"/>
    <col min="14865" max="14865" width="12" style="5" customWidth="1"/>
    <col min="14866" max="15104" width="9" style="5"/>
    <col min="15105" max="15105" width="4.1" style="5" customWidth="1"/>
    <col min="15106" max="15106" width="7.1" style="5" customWidth="1"/>
    <col min="15107" max="15107" width="14.1" style="5" customWidth="1"/>
    <col min="15108" max="15108" width="16.1" style="5" customWidth="1"/>
    <col min="15109" max="15109" width="9" style="5"/>
    <col min="15110" max="15110" width="16.4" style="5" customWidth="1"/>
    <col min="15111" max="15111" width="9" style="5"/>
    <col min="15112" max="15112" width="12.6" style="5" customWidth="1"/>
    <col min="15113" max="15113" width="9" style="5"/>
    <col min="15114" max="15114" width="11.5" style="5" customWidth="1"/>
    <col min="15115" max="15115" width="12.5" style="5" customWidth="1"/>
    <col min="15116" max="15120" width="9" style="5"/>
    <col min="15121" max="15121" width="12" style="5" customWidth="1"/>
    <col min="15122" max="15360" width="9" style="5"/>
    <col min="15361" max="15361" width="4.1" style="5" customWidth="1"/>
    <col min="15362" max="15362" width="7.1" style="5" customWidth="1"/>
    <col min="15363" max="15363" width="14.1" style="5" customWidth="1"/>
    <col min="15364" max="15364" width="16.1" style="5" customWidth="1"/>
    <col min="15365" max="15365" width="9" style="5"/>
    <col min="15366" max="15366" width="16.4" style="5" customWidth="1"/>
    <col min="15367" max="15367" width="9" style="5"/>
    <col min="15368" max="15368" width="12.6" style="5" customWidth="1"/>
    <col min="15369" max="15369" width="9" style="5"/>
    <col min="15370" max="15370" width="11.5" style="5" customWidth="1"/>
    <col min="15371" max="15371" width="12.5" style="5" customWidth="1"/>
    <col min="15372" max="15376" width="9" style="5"/>
    <col min="15377" max="15377" width="12" style="5" customWidth="1"/>
    <col min="15378" max="15616" width="9" style="5"/>
    <col min="15617" max="15617" width="4.1" style="5" customWidth="1"/>
    <col min="15618" max="15618" width="7.1" style="5" customWidth="1"/>
    <col min="15619" max="15619" width="14.1" style="5" customWidth="1"/>
    <col min="15620" max="15620" width="16.1" style="5" customWidth="1"/>
    <col min="15621" max="15621" width="9" style="5"/>
    <col min="15622" max="15622" width="16.4" style="5" customWidth="1"/>
    <col min="15623" max="15623" width="9" style="5"/>
    <col min="15624" max="15624" width="12.6" style="5" customWidth="1"/>
    <col min="15625" max="15625" width="9" style="5"/>
    <col min="15626" max="15626" width="11.5" style="5" customWidth="1"/>
    <col min="15627" max="15627" width="12.5" style="5" customWidth="1"/>
    <col min="15628" max="15632" width="9" style="5"/>
    <col min="15633" max="15633" width="12" style="5" customWidth="1"/>
    <col min="15634" max="15872" width="9" style="5"/>
    <col min="15873" max="15873" width="4.1" style="5" customWidth="1"/>
    <col min="15874" max="15874" width="7.1" style="5" customWidth="1"/>
    <col min="15875" max="15875" width="14.1" style="5" customWidth="1"/>
    <col min="15876" max="15876" width="16.1" style="5" customWidth="1"/>
    <col min="15877" max="15877" width="9" style="5"/>
    <col min="15878" max="15878" width="16.4" style="5" customWidth="1"/>
    <col min="15879" max="15879" width="9" style="5"/>
    <col min="15880" max="15880" width="12.6" style="5" customWidth="1"/>
    <col min="15881" max="15881" width="9" style="5"/>
    <col min="15882" max="15882" width="11.5" style="5" customWidth="1"/>
    <col min="15883" max="15883" width="12.5" style="5" customWidth="1"/>
    <col min="15884" max="15888" width="9" style="5"/>
    <col min="15889" max="15889" width="12" style="5" customWidth="1"/>
    <col min="15890" max="16128" width="9" style="5"/>
    <col min="16129" max="16129" width="4.1" style="5" customWidth="1"/>
    <col min="16130" max="16130" width="7.1" style="5" customWidth="1"/>
    <col min="16131" max="16131" width="14.1" style="5" customWidth="1"/>
    <col min="16132" max="16132" width="16.1" style="5" customWidth="1"/>
    <col min="16133" max="16133" width="9" style="5"/>
    <col min="16134" max="16134" width="16.4" style="5" customWidth="1"/>
    <col min="16135" max="16135" width="9" style="5"/>
    <col min="16136" max="16136" width="12.6" style="5" customWidth="1"/>
    <col min="16137" max="16137" width="9" style="5"/>
    <col min="16138" max="16138" width="11.5" style="5" customWidth="1"/>
    <col min="16139" max="16139" width="12.5" style="5" customWidth="1"/>
    <col min="16140" max="16144" width="9" style="5"/>
    <col min="16145" max="16145" width="12" style="5" customWidth="1"/>
    <col min="16146" max="16384" width="9" style="5"/>
  </cols>
  <sheetData>
    <row r="1" s="62" customFormat="1" ht="28.5" customHeight="1" spans="1:19">
      <c r="A1" s="65" t="s">
        <v>58</v>
      </c>
      <c r="B1" s="66" t="s">
        <v>56</v>
      </c>
      <c r="C1" s="67"/>
      <c r="D1" s="67"/>
      <c r="E1" s="67"/>
      <c r="F1" s="67"/>
      <c r="G1" s="67"/>
      <c r="H1" s="67"/>
      <c r="I1" s="67"/>
      <c r="J1" s="78" t="s">
        <v>59</v>
      </c>
      <c r="K1" s="79" t="str">
        <f>目录!E20</f>
        <v>1010-14</v>
      </c>
      <c r="L1" s="67"/>
      <c r="M1" s="80"/>
      <c r="N1" s="67"/>
      <c r="O1" s="67"/>
      <c r="P1" s="67"/>
      <c r="Q1" s="67"/>
      <c r="S1" s="84"/>
    </row>
    <row r="2" s="63" customFormat="1" ht="26.1" customHeight="1" spans="2:17">
      <c r="B2" s="68" t="str">
        <f>目录!G4&amp;目录!J4&amp;"  "&amp;目录!G5&amp;目录!H5&amp;"  "&amp;目录!G6&amp;目录!H6&amp;"  "&amp;目录!I5&amp;目录!J5&amp;目录!L5&amp;"  "&amp;目录!I6&amp;目录!J6&amp;目录!L6</f>
        <v>被审计单位：钢力金属  会计期间：2024-1-1至2024-12-31  截止日期：2024-12-31  编制人：黄振通2025-1-23  复核人：王裕昆2025-2-10</v>
      </c>
      <c r="G2" s="69"/>
      <c r="I2" s="80"/>
      <c r="J2" s="78"/>
      <c r="L2" s="69"/>
      <c r="M2" s="69"/>
      <c r="Q2" s="85"/>
    </row>
    <row r="3" s="64" customFormat="1" ht="12" customHeight="1"/>
    <row r="4" s="3" customFormat="1" customHeight="1" spans="2:11">
      <c r="B4" s="986" t="s">
        <v>79</v>
      </c>
      <c r="C4" s="987" t="s">
        <v>237</v>
      </c>
      <c r="D4" s="12"/>
      <c r="E4" s="12"/>
      <c r="F4" s="12"/>
      <c r="G4" s="12"/>
      <c r="H4" s="12"/>
      <c r="I4" s="12"/>
      <c r="J4" s="12"/>
      <c r="K4" s="35"/>
    </row>
    <row r="5" s="3" customFormat="1" ht="14.25" customHeight="1" spans="1:11">
      <c r="A5" s="13"/>
      <c r="B5" s="14">
        <v>1</v>
      </c>
      <c r="C5" s="15"/>
      <c r="D5" s="70"/>
      <c r="E5" s="70"/>
      <c r="F5" s="70"/>
      <c r="G5" s="70"/>
      <c r="H5" s="70"/>
      <c r="I5" s="70"/>
      <c r="J5" s="70"/>
      <c r="K5" s="36"/>
    </row>
    <row r="6" s="3" customFormat="1" ht="14.25" customHeight="1" spans="1:11">
      <c r="A6" s="13"/>
      <c r="B6" s="14">
        <v>2</v>
      </c>
      <c r="C6" s="15"/>
      <c r="D6" s="70"/>
      <c r="E6" s="70"/>
      <c r="F6" s="70"/>
      <c r="G6" s="70"/>
      <c r="H6" s="70"/>
      <c r="I6" s="70"/>
      <c r="J6" s="70"/>
      <c r="K6" s="36"/>
    </row>
    <row r="7" s="3" customFormat="1" ht="14.25" customHeight="1" spans="1:11">
      <c r="A7" s="13"/>
      <c r="B7" s="14">
        <v>3</v>
      </c>
      <c r="C7" s="15"/>
      <c r="D7" s="70"/>
      <c r="E7" s="70"/>
      <c r="F7" s="70"/>
      <c r="G7" s="70"/>
      <c r="H7" s="70"/>
      <c r="I7" s="70"/>
      <c r="J7" s="70"/>
      <c r="K7" s="36"/>
    </row>
    <row r="8" s="3" customFormat="1" ht="14.25" customHeight="1" spans="1:11">
      <c r="A8" s="13"/>
      <c r="B8" s="14">
        <v>4</v>
      </c>
      <c r="C8" s="15"/>
      <c r="D8" s="70"/>
      <c r="E8" s="70"/>
      <c r="F8" s="70"/>
      <c r="G8" s="70"/>
      <c r="H8" s="70"/>
      <c r="I8" s="70"/>
      <c r="J8" s="70"/>
      <c r="K8" s="36"/>
    </row>
    <row r="9" s="3" customFormat="1" ht="14.25" customHeight="1" spans="2:11">
      <c r="B9" s="17">
        <v>5</v>
      </c>
      <c r="C9" s="18"/>
      <c r="D9" s="71"/>
      <c r="E9" s="71"/>
      <c r="F9" s="71"/>
      <c r="G9" s="71"/>
      <c r="H9" s="71"/>
      <c r="I9" s="71"/>
      <c r="J9" s="71"/>
      <c r="K9" s="37"/>
    </row>
    <row r="10" s="3" customFormat="1" ht="13.5" customHeight="1" spans="4:8">
      <c r="D10" s="20"/>
      <c r="F10" s="20"/>
      <c r="H10" s="20"/>
    </row>
    <row r="11" s="4" customFormat="1" ht="16.25" spans="2:17">
      <c r="B11" s="72" t="s">
        <v>530</v>
      </c>
      <c r="C11" s="72"/>
      <c r="D11" s="72"/>
      <c r="E11" s="72"/>
      <c r="F11" s="72"/>
      <c r="G11" s="72"/>
      <c r="H11" s="72"/>
      <c r="I11" s="72"/>
      <c r="J11" s="72"/>
      <c r="K11" s="72"/>
      <c r="L11" s="72"/>
      <c r="M11" s="72"/>
      <c r="N11" s="72"/>
      <c r="O11" s="72"/>
      <c r="P11" s="72"/>
      <c r="Q11" s="86"/>
    </row>
    <row r="12" s="4" customFormat="1" ht="15.5" spans="2:17">
      <c r="B12" s="73"/>
      <c r="C12" s="74"/>
      <c r="D12" s="74"/>
      <c r="E12" s="74"/>
      <c r="F12" s="74"/>
      <c r="G12" s="74"/>
      <c r="H12" s="74"/>
      <c r="I12" s="74"/>
      <c r="J12" s="74"/>
      <c r="K12" s="81"/>
      <c r="L12" s="72"/>
      <c r="M12" s="72"/>
      <c r="N12" s="72"/>
      <c r="O12" s="72"/>
      <c r="P12" s="72"/>
      <c r="Q12" s="86"/>
    </row>
    <row r="13" s="4" customFormat="1" ht="15.5" spans="2:17">
      <c r="B13" s="75"/>
      <c r="C13" s="72"/>
      <c r="D13" s="72"/>
      <c r="E13" s="72"/>
      <c r="F13" s="72"/>
      <c r="G13" s="72"/>
      <c r="H13" s="72"/>
      <c r="I13" s="72"/>
      <c r="J13" s="72"/>
      <c r="K13" s="82"/>
      <c r="L13" s="72"/>
      <c r="M13" s="72"/>
      <c r="N13" s="72"/>
      <c r="O13" s="72"/>
      <c r="P13" s="72"/>
      <c r="Q13" s="86"/>
    </row>
    <row r="14" s="4" customFormat="1" ht="15.5" spans="2:17">
      <c r="B14" s="75"/>
      <c r="C14" s="72"/>
      <c r="D14" s="72"/>
      <c r="E14" s="72"/>
      <c r="F14" s="72"/>
      <c r="G14" s="72"/>
      <c r="H14" s="72"/>
      <c r="I14" s="72"/>
      <c r="J14" s="72"/>
      <c r="K14" s="82"/>
      <c r="L14" s="72"/>
      <c r="M14" s="72"/>
      <c r="N14" s="72"/>
      <c r="O14" s="72"/>
      <c r="P14" s="72"/>
      <c r="Q14" s="86"/>
    </row>
    <row r="15" s="4" customFormat="1" ht="15.5" spans="1:17">
      <c r="A15" s="76"/>
      <c r="B15" s="77"/>
      <c r="C15" s="76"/>
      <c r="D15" s="76"/>
      <c r="E15" s="76"/>
      <c r="F15" s="76"/>
      <c r="G15" s="76"/>
      <c r="H15" s="76"/>
      <c r="I15" s="76"/>
      <c r="J15" s="76"/>
      <c r="K15" s="83"/>
      <c r="L15" s="76"/>
      <c r="M15" s="76"/>
      <c r="N15" s="76"/>
      <c r="O15" s="76"/>
      <c r="P15" s="76"/>
      <c r="Q15" s="76"/>
    </row>
    <row r="16" s="4" customFormat="1" ht="15.5" spans="1:17">
      <c r="A16" s="76"/>
      <c r="B16" s="77"/>
      <c r="C16" s="76"/>
      <c r="D16" s="76"/>
      <c r="E16" s="76"/>
      <c r="F16" s="76"/>
      <c r="G16" s="76"/>
      <c r="H16" s="76"/>
      <c r="I16" s="76"/>
      <c r="J16" s="76"/>
      <c r="K16" s="83"/>
      <c r="L16" s="76"/>
      <c r="M16" s="76"/>
      <c r="N16" s="76"/>
      <c r="O16" s="76"/>
      <c r="P16" s="76"/>
      <c r="Q16" s="76"/>
    </row>
    <row r="17" s="4" customFormat="1" ht="16.25" spans="1:11">
      <c r="A17" s="72"/>
      <c r="B17" s="30"/>
      <c r="C17" s="31"/>
      <c r="D17" s="31"/>
      <c r="E17" s="31"/>
      <c r="F17" s="31"/>
      <c r="G17" s="31"/>
      <c r="H17" s="31"/>
      <c r="I17" s="31"/>
      <c r="J17" s="31"/>
      <c r="K17" s="41"/>
    </row>
  </sheetData>
  <hyperlinks>
    <hyperlink ref="A1" location="'目录'!C19" display="&lt;&lt;"/>
  </hyperlink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E2"/>
  <sheetViews>
    <sheetView showGridLines="0" workbookViewId="0">
      <selection activeCell="A1" sqref="A1"/>
    </sheetView>
  </sheetViews>
  <sheetFormatPr defaultColWidth="8.6" defaultRowHeight="15" outlineLevelRow="1" outlineLevelCol="4"/>
  <cols>
    <col min="1" max="1" width="3" style="57" customWidth="1"/>
    <col min="2" max="2" width="8.1" customWidth="1"/>
    <col min="3" max="3" width="28.4" customWidth="1"/>
    <col min="4" max="4" width="11.6" customWidth="1"/>
  </cols>
  <sheetData>
    <row r="1" ht="15.75" spans="1:1">
      <c r="A1" s="58" t="s">
        <v>58</v>
      </c>
    </row>
    <row r="2" ht="30" customHeight="1" spans="2:5">
      <c r="B2" s="59" t="s">
        <v>531</v>
      </c>
      <c r="C2" s="60"/>
      <c r="D2" s="60"/>
      <c r="E2" s="61"/>
    </row>
  </sheetData>
  <mergeCells count="1">
    <mergeCell ref="B2:E2"/>
  </mergeCells>
  <hyperlinks>
    <hyperlink ref="A1" location="'目录'!C20" display="&lt;&lt;"/>
  </hyperlinks>
  <pageMargins left="0.75" right="0.75" top="1" bottom="1" header="0.5" footer="0.5"/>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170"/>
  <sheetViews>
    <sheetView topLeftCell="A41" workbookViewId="0">
      <selection activeCell="F4" sqref="F4"/>
    </sheetView>
  </sheetViews>
  <sheetFormatPr defaultColWidth="8.1" defaultRowHeight="14" outlineLevelCol="2"/>
  <cols>
    <col min="1" max="1" width="41.7" style="46" customWidth="1"/>
    <col min="2" max="2" width="45.4" style="46" customWidth="1"/>
    <col min="3" max="3" width="31.6" style="46" customWidth="1"/>
    <col min="4" max="256" width="8.1" style="46"/>
    <col min="257" max="257" width="41.7" style="46" customWidth="1"/>
    <col min="258" max="258" width="45.4" style="46" customWidth="1"/>
    <col min="259" max="259" width="31.6" style="46" customWidth="1"/>
    <col min="260" max="512" width="8.1" style="46"/>
    <col min="513" max="513" width="41.7" style="46" customWidth="1"/>
    <col min="514" max="514" width="45.4" style="46" customWidth="1"/>
    <col min="515" max="515" width="31.6" style="46" customWidth="1"/>
    <col min="516" max="768" width="8.1" style="46"/>
    <col min="769" max="769" width="41.7" style="46" customWidth="1"/>
    <col min="770" max="770" width="45.4" style="46" customWidth="1"/>
    <col min="771" max="771" width="31.6" style="46" customWidth="1"/>
    <col min="772" max="1024" width="8.1" style="46"/>
    <col min="1025" max="1025" width="41.7" style="46" customWidth="1"/>
    <col min="1026" max="1026" width="45.4" style="46" customWidth="1"/>
    <col min="1027" max="1027" width="31.6" style="46" customWidth="1"/>
    <col min="1028" max="1280" width="8.1" style="46"/>
    <col min="1281" max="1281" width="41.7" style="46" customWidth="1"/>
    <col min="1282" max="1282" width="45.4" style="46" customWidth="1"/>
    <col min="1283" max="1283" width="31.6" style="46" customWidth="1"/>
    <col min="1284" max="1536" width="8.1" style="46"/>
    <col min="1537" max="1537" width="41.7" style="46" customWidth="1"/>
    <col min="1538" max="1538" width="45.4" style="46" customWidth="1"/>
    <col min="1539" max="1539" width="31.6" style="46" customWidth="1"/>
    <col min="1540" max="1792" width="8.1" style="46"/>
    <col min="1793" max="1793" width="41.7" style="46" customWidth="1"/>
    <col min="1794" max="1794" width="45.4" style="46" customWidth="1"/>
    <col min="1795" max="1795" width="31.6" style="46" customWidth="1"/>
    <col min="1796" max="2048" width="8.1" style="46"/>
    <col min="2049" max="2049" width="41.7" style="46" customWidth="1"/>
    <col min="2050" max="2050" width="45.4" style="46" customWidth="1"/>
    <col min="2051" max="2051" width="31.6" style="46" customWidth="1"/>
    <col min="2052" max="2304" width="8.1" style="46"/>
    <col min="2305" max="2305" width="41.7" style="46" customWidth="1"/>
    <col min="2306" max="2306" width="45.4" style="46" customWidth="1"/>
    <col min="2307" max="2307" width="31.6" style="46" customWidth="1"/>
    <col min="2308" max="2560" width="8.1" style="46"/>
    <col min="2561" max="2561" width="41.7" style="46" customWidth="1"/>
    <col min="2562" max="2562" width="45.4" style="46" customWidth="1"/>
    <col min="2563" max="2563" width="31.6" style="46" customWidth="1"/>
    <col min="2564" max="2816" width="8.1" style="46"/>
    <col min="2817" max="2817" width="41.7" style="46" customWidth="1"/>
    <col min="2818" max="2818" width="45.4" style="46" customWidth="1"/>
    <col min="2819" max="2819" width="31.6" style="46" customWidth="1"/>
    <col min="2820" max="3072" width="8.1" style="46"/>
    <col min="3073" max="3073" width="41.7" style="46" customWidth="1"/>
    <col min="3074" max="3074" width="45.4" style="46" customWidth="1"/>
    <col min="3075" max="3075" width="31.6" style="46" customWidth="1"/>
    <col min="3076" max="3328" width="8.1" style="46"/>
    <col min="3329" max="3329" width="41.7" style="46" customWidth="1"/>
    <col min="3330" max="3330" width="45.4" style="46" customWidth="1"/>
    <col min="3331" max="3331" width="31.6" style="46" customWidth="1"/>
    <col min="3332" max="3584" width="8.1" style="46"/>
    <col min="3585" max="3585" width="41.7" style="46" customWidth="1"/>
    <col min="3586" max="3586" width="45.4" style="46" customWidth="1"/>
    <col min="3587" max="3587" width="31.6" style="46" customWidth="1"/>
    <col min="3588" max="3840" width="8.1" style="46"/>
    <col min="3841" max="3841" width="41.7" style="46" customWidth="1"/>
    <col min="3842" max="3842" width="45.4" style="46" customWidth="1"/>
    <col min="3843" max="3843" width="31.6" style="46" customWidth="1"/>
    <col min="3844" max="4096" width="8.1" style="46"/>
    <col min="4097" max="4097" width="41.7" style="46" customWidth="1"/>
    <col min="4098" max="4098" width="45.4" style="46" customWidth="1"/>
    <col min="4099" max="4099" width="31.6" style="46" customWidth="1"/>
    <col min="4100" max="4352" width="8.1" style="46"/>
    <col min="4353" max="4353" width="41.7" style="46" customWidth="1"/>
    <col min="4354" max="4354" width="45.4" style="46" customWidth="1"/>
    <col min="4355" max="4355" width="31.6" style="46" customWidth="1"/>
    <col min="4356" max="4608" width="8.1" style="46"/>
    <col min="4609" max="4609" width="41.7" style="46" customWidth="1"/>
    <col min="4610" max="4610" width="45.4" style="46" customWidth="1"/>
    <col min="4611" max="4611" width="31.6" style="46" customWidth="1"/>
    <col min="4612" max="4864" width="8.1" style="46"/>
    <col min="4865" max="4865" width="41.7" style="46" customWidth="1"/>
    <col min="4866" max="4866" width="45.4" style="46" customWidth="1"/>
    <col min="4867" max="4867" width="31.6" style="46" customWidth="1"/>
    <col min="4868" max="5120" width="8.1" style="46"/>
    <col min="5121" max="5121" width="41.7" style="46" customWidth="1"/>
    <col min="5122" max="5122" width="45.4" style="46" customWidth="1"/>
    <col min="5123" max="5123" width="31.6" style="46" customWidth="1"/>
    <col min="5124" max="5376" width="8.1" style="46"/>
    <col min="5377" max="5377" width="41.7" style="46" customWidth="1"/>
    <col min="5378" max="5378" width="45.4" style="46" customWidth="1"/>
    <col min="5379" max="5379" width="31.6" style="46" customWidth="1"/>
    <col min="5380" max="5632" width="8.1" style="46"/>
    <col min="5633" max="5633" width="41.7" style="46" customWidth="1"/>
    <col min="5634" max="5634" width="45.4" style="46" customWidth="1"/>
    <col min="5635" max="5635" width="31.6" style="46" customWidth="1"/>
    <col min="5636" max="5888" width="8.1" style="46"/>
    <col min="5889" max="5889" width="41.7" style="46" customWidth="1"/>
    <col min="5890" max="5890" width="45.4" style="46" customWidth="1"/>
    <col min="5891" max="5891" width="31.6" style="46" customWidth="1"/>
    <col min="5892" max="6144" width="8.1" style="46"/>
    <col min="6145" max="6145" width="41.7" style="46" customWidth="1"/>
    <col min="6146" max="6146" width="45.4" style="46" customWidth="1"/>
    <col min="6147" max="6147" width="31.6" style="46" customWidth="1"/>
    <col min="6148" max="6400" width="8.1" style="46"/>
    <col min="6401" max="6401" width="41.7" style="46" customWidth="1"/>
    <col min="6402" max="6402" width="45.4" style="46" customWidth="1"/>
    <col min="6403" max="6403" width="31.6" style="46" customWidth="1"/>
    <col min="6404" max="6656" width="8.1" style="46"/>
    <col min="6657" max="6657" width="41.7" style="46" customWidth="1"/>
    <col min="6658" max="6658" width="45.4" style="46" customWidth="1"/>
    <col min="6659" max="6659" width="31.6" style="46" customWidth="1"/>
    <col min="6660" max="6912" width="8.1" style="46"/>
    <col min="6913" max="6913" width="41.7" style="46" customWidth="1"/>
    <col min="6914" max="6914" width="45.4" style="46" customWidth="1"/>
    <col min="6915" max="6915" width="31.6" style="46" customWidth="1"/>
    <col min="6916" max="7168" width="8.1" style="46"/>
    <col min="7169" max="7169" width="41.7" style="46" customWidth="1"/>
    <col min="7170" max="7170" width="45.4" style="46" customWidth="1"/>
    <col min="7171" max="7171" width="31.6" style="46" customWidth="1"/>
    <col min="7172" max="7424" width="8.1" style="46"/>
    <col min="7425" max="7425" width="41.7" style="46" customWidth="1"/>
    <col min="7426" max="7426" width="45.4" style="46" customWidth="1"/>
    <col min="7427" max="7427" width="31.6" style="46" customWidth="1"/>
    <col min="7428" max="7680" width="8.1" style="46"/>
    <col min="7681" max="7681" width="41.7" style="46" customWidth="1"/>
    <col min="7682" max="7682" width="45.4" style="46" customWidth="1"/>
    <col min="7683" max="7683" width="31.6" style="46" customWidth="1"/>
    <col min="7684" max="7936" width="8.1" style="46"/>
    <col min="7937" max="7937" width="41.7" style="46" customWidth="1"/>
    <col min="7938" max="7938" width="45.4" style="46" customWidth="1"/>
    <col min="7939" max="7939" width="31.6" style="46" customWidth="1"/>
    <col min="7940" max="8192" width="8.1" style="46"/>
    <col min="8193" max="8193" width="41.7" style="46" customWidth="1"/>
    <col min="8194" max="8194" width="45.4" style="46" customWidth="1"/>
    <col min="8195" max="8195" width="31.6" style="46" customWidth="1"/>
    <col min="8196" max="8448" width="8.1" style="46"/>
    <col min="8449" max="8449" width="41.7" style="46" customWidth="1"/>
    <col min="8450" max="8450" width="45.4" style="46" customWidth="1"/>
    <col min="8451" max="8451" width="31.6" style="46" customWidth="1"/>
    <col min="8452" max="8704" width="8.1" style="46"/>
    <col min="8705" max="8705" width="41.7" style="46" customWidth="1"/>
    <col min="8706" max="8706" width="45.4" style="46" customWidth="1"/>
    <col min="8707" max="8707" width="31.6" style="46" customWidth="1"/>
    <col min="8708" max="8960" width="8.1" style="46"/>
    <col min="8961" max="8961" width="41.7" style="46" customWidth="1"/>
    <col min="8962" max="8962" width="45.4" style="46" customWidth="1"/>
    <col min="8963" max="8963" width="31.6" style="46" customWidth="1"/>
    <col min="8964" max="9216" width="8.1" style="46"/>
    <col min="9217" max="9217" width="41.7" style="46" customWidth="1"/>
    <col min="9218" max="9218" width="45.4" style="46" customWidth="1"/>
    <col min="9219" max="9219" width="31.6" style="46" customWidth="1"/>
    <col min="9220" max="9472" width="8.1" style="46"/>
    <col min="9473" max="9473" width="41.7" style="46" customWidth="1"/>
    <col min="9474" max="9474" width="45.4" style="46" customWidth="1"/>
    <col min="9475" max="9475" width="31.6" style="46" customWidth="1"/>
    <col min="9476" max="9728" width="8.1" style="46"/>
    <col min="9729" max="9729" width="41.7" style="46" customWidth="1"/>
    <col min="9730" max="9730" width="45.4" style="46" customWidth="1"/>
    <col min="9731" max="9731" width="31.6" style="46" customWidth="1"/>
    <col min="9732" max="9984" width="8.1" style="46"/>
    <col min="9985" max="9985" width="41.7" style="46" customWidth="1"/>
    <col min="9986" max="9986" width="45.4" style="46" customWidth="1"/>
    <col min="9987" max="9987" width="31.6" style="46" customWidth="1"/>
    <col min="9988" max="10240" width="8.1" style="46"/>
    <col min="10241" max="10241" width="41.7" style="46" customWidth="1"/>
    <col min="10242" max="10242" width="45.4" style="46" customWidth="1"/>
    <col min="10243" max="10243" width="31.6" style="46" customWidth="1"/>
    <col min="10244" max="10496" width="8.1" style="46"/>
    <col min="10497" max="10497" width="41.7" style="46" customWidth="1"/>
    <col min="10498" max="10498" width="45.4" style="46" customWidth="1"/>
    <col min="10499" max="10499" width="31.6" style="46" customWidth="1"/>
    <col min="10500" max="10752" width="8.1" style="46"/>
    <col min="10753" max="10753" width="41.7" style="46" customWidth="1"/>
    <col min="10754" max="10754" width="45.4" style="46" customWidth="1"/>
    <col min="10755" max="10755" width="31.6" style="46" customWidth="1"/>
    <col min="10756" max="11008" width="8.1" style="46"/>
    <col min="11009" max="11009" width="41.7" style="46" customWidth="1"/>
    <col min="11010" max="11010" width="45.4" style="46" customWidth="1"/>
    <col min="11011" max="11011" width="31.6" style="46" customWidth="1"/>
    <col min="11012" max="11264" width="8.1" style="46"/>
    <col min="11265" max="11265" width="41.7" style="46" customWidth="1"/>
    <col min="11266" max="11266" width="45.4" style="46" customWidth="1"/>
    <col min="11267" max="11267" width="31.6" style="46" customWidth="1"/>
    <col min="11268" max="11520" width="8.1" style="46"/>
    <col min="11521" max="11521" width="41.7" style="46" customWidth="1"/>
    <col min="11522" max="11522" width="45.4" style="46" customWidth="1"/>
    <col min="11523" max="11523" width="31.6" style="46" customWidth="1"/>
    <col min="11524" max="11776" width="8.1" style="46"/>
    <col min="11777" max="11777" width="41.7" style="46" customWidth="1"/>
    <col min="11778" max="11778" width="45.4" style="46" customWidth="1"/>
    <col min="11779" max="11779" width="31.6" style="46" customWidth="1"/>
    <col min="11780" max="12032" width="8.1" style="46"/>
    <col min="12033" max="12033" width="41.7" style="46" customWidth="1"/>
    <col min="12034" max="12034" width="45.4" style="46" customWidth="1"/>
    <col min="12035" max="12035" width="31.6" style="46" customWidth="1"/>
    <col min="12036" max="12288" width="8.1" style="46"/>
    <col min="12289" max="12289" width="41.7" style="46" customWidth="1"/>
    <col min="12290" max="12290" width="45.4" style="46" customWidth="1"/>
    <col min="12291" max="12291" width="31.6" style="46" customWidth="1"/>
    <col min="12292" max="12544" width="8.1" style="46"/>
    <col min="12545" max="12545" width="41.7" style="46" customWidth="1"/>
    <col min="12546" max="12546" width="45.4" style="46" customWidth="1"/>
    <col min="12547" max="12547" width="31.6" style="46" customWidth="1"/>
    <col min="12548" max="12800" width="8.1" style="46"/>
    <col min="12801" max="12801" width="41.7" style="46" customWidth="1"/>
    <col min="12802" max="12802" width="45.4" style="46" customWidth="1"/>
    <col min="12803" max="12803" width="31.6" style="46" customWidth="1"/>
    <col min="12804" max="13056" width="8.1" style="46"/>
    <col min="13057" max="13057" width="41.7" style="46" customWidth="1"/>
    <col min="13058" max="13058" width="45.4" style="46" customWidth="1"/>
    <col min="13059" max="13059" width="31.6" style="46" customWidth="1"/>
    <col min="13060" max="13312" width="8.1" style="46"/>
    <col min="13313" max="13313" width="41.7" style="46" customWidth="1"/>
    <col min="13314" max="13314" width="45.4" style="46" customWidth="1"/>
    <col min="13315" max="13315" width="31.6" style="46" customWidth="1"/>
    <col min="13316" max="13568" width="8.1" style="46"/>
    <col min="13569" max="13569" width="41.7" style="46" customWidth="1"/>
    <col min="13570" max="13570" width="45.4" style="46" customWidth="1"/>
    <col min="13571" max="13571" width="31.6" style="46" customWidth="1"/>
    <col min="13572" max="13824" width="8.1" style="46"/>
    <col min="13825" max="13825" width="41.7" style="46" customWidth="1"/>
    <col min="13826" max="13826" width="45.4" style="46" customWidth="1"/>
    <col min="13827" max="13827" width="31.6" style="46" customWidth="1"/>
    <col min="13828" max="14080" width="8.1" style="46"/>
    <col min="14081" max="14081" width="41.7" style="46" customWidth="1"/>
    <col min="14082" max="14082" width="45.4" style="46" customWidth="1"/>
    <col min="14083" max="14083" width="31.6" style="46" customWidth="1"/>
    <col min="14084" max="14336" width="8.1" style="46"/>
    <col min="14337" max="14337" width="41.7" style="46" customWidth="1"/>
    <col min="14338" max="14338" width="45.4" style="46" customWidth="1"/>
    <col min="14339" max="14339" width="31.6" style="46" customWidth="1"/>
    <col min="14340" max="14592" width="8.1" style="46"/>
    <col min="14593" max="14593" width="41.7" style="46" customWidth="1"/>
    <col min="14594" max="14594" width="45.4" style="46" customWidth="1"/>
    <col min="14595" max="14595" width="31.6" style="46" customWidth="1"/>
    <col min="14596" max="14848" width="8.1" style="46"/>
    <col min="14849" max="14849" width="41.7" style="46" customWidth="1"/>
    <col min="14850" max="14850" width="45.4" style="46" customWidth="1"/>
    <col min="14851" max="14851" width="31.6" style="46" customWidth="1"/>
    <col min="14852" max="15104" width="8.1" style="46"/>
    <col min="15105" max="15105" width="41.7" style="46" customWidth="1"/>
    <col min="15106" max="15106" width="45.4" style="46" customWidth="1"/>
    <col min="15107" max="15107" width="31.6" style="46" customWidth="1"/>
    <col min="15108" max="15360" width="8.1" style="46"/>
    <col min="15361" max="15361" width="41.7" style="46" customWidth="1"/>
    <col min="15362" max="15362" width="45.4" style="46" customWidth="1"/>
    <col min="15363" max="15363" width="31.6" style="46" customWidth="1"/>
    <col min="15364" max="15616" width="8.1" style="46"/>
    <col min="15617" max="15617" width="41.7" style="46" customWidth="1"/>
    <col min="15618" max="15618" width="45.4" style="46" customWidth="1"/>
    <col min="15619" max="15619" width="31.6" style="46" customWidth="1"/>
    <col min="15620" max="15872" width="8.1" style="46"/>
    <col min="15873" max="15873" width="41.7" style="46" customWidth="1"/>
    <col min="15874" max="15874" width="45.4" style="46" customWidth="1"/>
    <col min="15875" max="15875" width="31.6" style="46" customWidth="1"/>
    <col min="15876" max="16128" width="8.1" style="46"/>
    <col min="16129" max="16129" width="41.7" style="46" customWidth="1"/>
    <col min="16130" max="16130" width="45.4" style="46" customWidth="1"/>
    <col min="16131" max="16131" width="31.6" style="46" customWidth="1"/>
    <col min="16132" max="16384" width="8.1" style="46"/>
  </cols>
  <sheetData>
    <row r="1" ht="23.75" spans="1:1">
      <c r="A1" s="47" t="s">
        <v>532</v>
      </c>
    </row>
    <row r="2" s="45" customFormat="1" ht="18" customHeight="1" spans="1:3">
      <c r="A2" s="48" t="s">
        <v>533</v>
      </c>
      <c r="B2" s="49" t="s">
        <v>178</v>
      </c>
      <c r="C2" s="50" t="s">
        <v>179</v>
      </c>
    </row>
    <row r="3" ht="18" customHeight="1" spans="1:3">
      <c r="A3" s="51" t="s">
        <v>193</v>
      </c>
      <c r="B3" s="52" t="s">
        <v>534</v>
      </c>
      <c r="C3" s="53" t="s">
        <v>535</v>
      </c>
    </row>
    <row r="4" ht="18" customHeight="1" spans="1:3">
      <c r="A4" s="51" t="s">
        <v>194</v>
      </c>
      <c r="B4" s="52" t="s">
        <v>536</v>
      </c>
      <c r="C4" s="53"/>
    </row>
    <row r="5" ht="18" customHeight="1" spans="1:3">
      <c r="A5" s="51" t="s">
        <v>195</v>
      </c>
      <c r="B5" s="52" t="s">
        <v>537</v>
      </c>
      <c r="C5" s="53"/>
    </row>
    <row r="6" ht="18" customHeight="1" spans="1:3">
      <c r="A6" s="51" t="s">
        <v>538</v>
      </c>
      <c r="B6" s="52" t="s">
        <v>539</v>
      </c>
      <c r="C6" s="53"/>
    </row>
    <row r="7" ht="18" customHeight="1" spans="1:3">
      <c r="A7" s="51" t="s">
        <v>540</v>
      </c>
      <c r="B7" s="52" t="s">
        <v>541</v>
      </c>
      <c r="C7" s="53"/>
    </row>
    <row r="8" ht="18" customHeight="1" spans="1:3">
      <c r="A8" s="51" t="s">
        <v>542</v>
      </c>
      <c r="B8" s="52" t="s">
        <v>543</v>
      </c>
      <c r="C8" s="53"/>
    </row>
    <row r="9" ht="18" customHeight="1" spans="1:3">
      <c r="A9" s="51" t="s">
        <v>544</v>
      </c>
      <c r="B9" s="52" t="s">
        <v>545</v>
      </c>
      <c r="C9" s="53"/>
    </row>
    <row r="10" ht="18" customHeight="1" spans="1:3">
      <c r="A10" s="51" t="s">
        <v>546</v>
      </c>
      <c r="B10" s="52" t="s">
        <v>547</v>
      </c>
      <c r="C10" s="53"/>
    </row>
    <row r="11" ht="18" customHeight="1" spans="1:3">
      <c r="A11" s="51" t="s">
        <v>548</v>
      </c>
      <c r="B11" s="52" t="s">
        <v>549</v>
      </c>
      <c r="C11" s="53"/>
    </row>
    <row r="12" ht="18" customHeight="1" spans="1:3">
      <c r="A12" s="51" t="s">
        <v>550</v>
      </c>
      <c r="B12" s="52" t="s">
        <v>551</v>
      </c>
      <c r="C12" s="53"/>
    </row>
    <row r="13" ht="18" customHeight="1" spans="1:3">
      <c r="A13" s="51" t="s">
        <v>552</v>
      </c>
      <c r="B13" s="52" t="s">
        <v>553</v>
      </c>
      <c r="C13" s="53"/>
    </row>
    <row r="14" ht="18" customHeight="1" spans="1:3">
      <c r="A14" s="51" t="s">
        <v>554</v>
      </c>
      <c r="B14" s="52" t="s">
        <v>555</v>
      </c>
      <c r="C14" s="53"/>
    </row>
    <row r="15" ht="18" customHeight="1" spans="1:3">
      <c r="A15" s="51" t="s">
        <v>556</v>
      </c>
      <c r="B15" s="52" t="s">
        <v>557</v>
      </c>
      <c r="C15" s="53"/>
    </row>
    <row r="16" ht="18" customHeight="1" spans="1:3">
      <c r="A16" s="51" t="s">
        <v>558</v>
      </c>
      <c r="B16" s="52" t="s">
        <v>559</v>
      </c>
      <c r="C16" s="53"/>
    </row>
    <row r="17" ht="18" customHeight="1" spans="1:3">
      <c r="A17" s="51" t="s">
        <v>560</v>
      </c>
      <c r="B17" s="52" t="s">
        <v>561</v>
      </c>
      <c r="C17" s="53"/>
    </row>
    <row r="18" ht="18" customHeight="1" spans="1:3">
      <c r="A18" s="51" t="s">
        <v>562</v>
      </c>
      <c r="B18" s="52" t="s">
        <v>563</v>
      </c>
      <c r="C18" s="53"/>
    </row>
    <row r="19" ht="18" customHeight="1" spans="1:3">
      <c r="A19" s="51" t="s">
        <v>564</v>
      </c>
      <c r="B19" s="52" t="s">
        <v>565</v>
      </c>
      <c r="C19" s="53"/>
    </row>
    <row r="20" ht="18" customHeight="1" spans="1:3">
      <c r="A20" s="51" t="s">
        <v>566</v>
      </c>
      <c r="B20" s="52" t="s">
        <v>567</v>
      </c>
      <c r="C20" s="53"/>
    </row>
    <row r="21" ht="18" customHeight="1" spans="1:3">
      <c r="A21" s="51" t="s">
        <v>568</v>
      </c>
      <c r="B21" s="52"/>
      <c r="C21" s="53"/>
    </row>
    <row r="22" ht="18" customHeight="1" spans="1:3">
      <c r="A22" s="51" t="s">
        <v>569</v>
      </c>
      <c r="B22" s="52"/>
      <c r="C22" s="53"/>
    </row>
    <row r="23" ht="18" customHeight="1" spans="1:3">
      <c r="A23" s="51" t="s">
        <v>570</v>
      </c>
      <c r="B23" s="52"/>
      <c r="C23" s="53"/>
    </row>
    <row r="24" ht="18" customHeight="1" spans="1:3">
      <c r="A24" s="51" t="s">
        <v>571</v>
      </c>
      <c r="B24" s="52"/>
      <c r="C24" s="53"/>
    </row>
    <row r="25" ht="18" customHeight="1" spans="1:3">
      <c r="A25" s="51" t="s">
        <v>572</v>
      </c>
      <c r="B25" s="52"/>
      <c r="C25" s="53"/>
    </row>
    <row r="26" ht="18" customHeight="1" spans="1:3">
      <c r="A26" s="51" t="s">
        <v>573</v>
      </c>
      <c r="B26" s="52"/>
      <c r="C26" s="53"/>
    </row>
    <row r="27" ht="18" customHeight="1" spans="1:3">
      <c r="A27" s="51" t="s">
        <v>574</v>
      </c>
      <c r="B27" s="52"/>
      <c r="C27" s="53"/>
    </row>
    <row r="28" ht="18" customHeight="1" spans="1:3">
      <c r="A28" s="51" t="s">
        <v>575</v>
      </c>
      <c r="B28" s="52"/>
      <c r="C28" s="53"/>
    </row>
    <row r="29" ht="18" customHeight="1" spans="1:3">
      <c r="A29" s="51" t="s">
        <v>576</v>
      </c>
      <c r="B29" s="52"/>
      <c r="C29" s="53"/>
    </row>
    <row r="30" ht="18" customHeight="1" spans="1:3">
      <c r="A30" s="51" t="s">
        <v>577</v>
      </c>
      <c r="B30" s="52"/>
      <c r="C30" s="53"/>
    </row>
    <row r="31" ht="18" customHeight="1" spans="1:3">
      <c r="A31" s="51" t="s">
        <v>578</v>
      </c>
      <c r="B31" s="52"/>
      <c r="C31" s="53"/>
    </row>
    <row r="32" ht="18" customHeight="1" spans="1:3">
      <c r="A32" s="51" t="s">
        <v>579</v>
      </c>
      <c r="B32" s="52"/>
      <c r="C32" s="53"/>
    </row>
    <row r="33" ht="18" customHeight="1" spans="1:3">
      <c r="A33" s="51" t="s">
        <v>580</v>
      </c>
      <c r="B33" s="52"/>
      <c r="C33" s="53"/>
    </row>
    <row r="34" ht="18" customHeight="1" spans="1:3">
      <c r="A34" s="51" t="s">
        <v>581</v>
      </c>
      <c r="B34" s="52"/>
      <c r="C34" s="53"/>
    </row>
    <row r="35" ht="18" customHeight="1" spans="1:3">
      <c r="A35" s="51" t="s">
        <v>582</v>
      </c>
      <c r="B35" s="52"/>
      <c r="C35" s="53"/>
    </row>
    <row r="36" ht="18" customHeight="1" spans="1:3">
      <c r="A36" s="51" t="s">
        <v>583</v>
      </c>
      <c r="B36" s="52"/>
      <c r="C36" s="53"/>
    </row>
    <row r="37" ht="18" customHeight="1" spans="1:3">
      <c r="A37" s="51" t="s">
        <v>584</v>
      </c>
      <c r="B37" s="52"/>
      <c r="C37" s="53"/>
    </row>
    <row r="38" ht="18" customHeight="1" spans="1:3">
      <c r="A38" s="51" t="s">
        <v>585</v>
      </c>
      <c r="B38" s="52"/>
      <c r="C38" s="53"/>
    </row>
    <row r="39" ht="18" customHeight="1" spans="1:3">
      <c r="A39" s="51" t="s">
        <v>586</v>
      </c>
      <c r="B39" s="52"/>
      <c r="C39" s="53"/>
    </row>
    <row r="40" ht="18" customHeight="1" spans="1:3">
      <c r="A40" s="51" t="s">
        <v>587</v>
      </c>
      <c r="B40" s="52"/>
      <c r="C40" s="53"/>
    </row>
    <row r="41" ht="18" customHeight="1" spans="1:3">
      <c r="A41" s="51" t="s">
        <v>588</v>
      </c>
      <c r="B41" s="52"/>
      <c r="C41" s="53"/>
    </row>
    <row r="42" ht="18" customHeight="1" spans="1:3">
      <c r="A42" s="51" t="s">
        <v>589</v>
      </c>
      <c r="B42" s="52"/>
      <c r="C42" s="53"/>
    </row>
    <row r="43" ht="18" customHeight="1" spans="1:3">
      <c r="A43" s="51" t="s">
        <v>590</v>
      </c>
      <c r="B43" s="52"/>
      <c r="C43" s="53"/>
    </row>
    <row r="44" ht="18" customHeight="1" spans="1:3">
      <c r="A44" s="51" t="s">
        <v>591</v>
      </c>
      <c r="B44" s="52"/>
      <c r="C44" s="53"/>
    </row>
    <row r="45" ht="18" customHeight="1" spans="1:3">
      <c r="A45" s="51" t="s">
        <v>592</v>
      </c>
      <c r="B45" s="52"/>
      <c r="C45" s="53"/>
    </row>
    <row r="46" ht="18" customHeight="1" spans="1:3">
      <c r="A46" s="51" t="s">
        <v>593</v>
      </c>
      <c r="B46" s="52"/>
      <c r="C46" s="53"/>
    </row>
    <row r="47" ht="18" customHeight="1" spans="1:3">
      <c r="A47" s="51" t="s">
        <v>594</v>
      </c>
      <c r="B47" s="52"/>
      <c r="C47" s="53"/>
    </row>
    <row r="48" ht="18" customHeight="1" spans="1:3">
      <c r="A48" s="51" t="s">
        <v>595</v>
      </c>
      <c r="B48" s="52"/>
      <c r="C48" s="53"/>
    </row>
    <row r="49" ht="18" customHeight="1" spans="1:3">
      <c r="A49" s="51" t="s">
        <v>596</v>
      </c>
      <c r="B49" s="52"/>
      <c r="C49" s="53"/>
    </row>
    <row r="50" ht="18" customHeight="1" spans="1:3">
      <c r="A50" s="51" t="s">
        <v>597</v>
      </c>
      <c r="B50" s="52"/>
      <c r="C50" s="53"/>
    </row>
    <row r="51" ht="18" customHeight="1" spans="1:3">
      <c r="A51" s="51" t="s">
        <v>598</v>
      </c>
      <c r="B51" s="52"/>
      <c r="C51" s="53"/>
    </row>
    <row r="52" ht="18" customHeight="1" spans="1:3">
      <c r="A52" s="51" t="s">
        <v>599</v>
      </c>
      <c r="B52" s="52"/>
      <c r="C52" s="53"/>
    </row>
    <row r="53" ht="18" customHeight="1" spans="1:3">
      <c r="A53" s="51" t="s">
        <v>600</v>
      </c>
      <c r="B53" s="52"/>
      <c r="C53" s="53"/>
    </row>
    <row r="54" ht="18" customHeight="1" spans="1:3">
      <c r="A54" s="51" t="s">
        <v>601</v>
      </c>
      <c r="B54" s="52"/>
      <c r="C54" s="53"/>
    </row>
    <row r="55" ht="18" customHeight="1" spans="1:3">
      <c r="A55" s="51" t="s">
        <v>602</v>
      </c>
      <c r="B55" s="52"/>
      <c r="C55" s="53"/>
    </row>
    <row r="56" ht="18" customHeight="1" spans="1:3">
      <c r="A56" s="51" t="s">
        <v>603</v>
      </c>
      <c r="B56" s="52"/>
      <c r="C56" s="53"/>
    </row>
    <row r="57" ht="18" customHeight="1" spans="1:3">
      <c r="A57" s="51" t="s">
        <v>604</v>
      </c>
      <c r="B57" s="52"/>
      <c r="C57" s="53"/>
    </row>
    <row r="58" ht="18" customHeight="1" spans="1:3">
      <c r="A58" s="51" t="s">
        <v>605</v>
      </c>
      <c r="B58" s="52"/>
      <c r="C58" s="53"/>
    </row>
    <row r="59" ht="18" customHeight="1" spans="1:3">
      <c r="A59" s="51" t="s">
        <v>606</v>
      </c>
      <c r="B59" s="52"/>
      <c r="C59" s="53"/>
    </row>
    <row r="60" ht="18" customHeight="1" spans="1:3">
      <c r="A60" s="51" t="s">
        <v>607</v>
      </c>
      <c r="B60" s="52"/>
      <c r="C60" s="53"/>
    </row>
    <row r="61" ht="18" customHeight="1" spans="1:3">
      <c r="A61" s="51" t="s">
        <v>608</v>
      </c>
      <c r="B61" s="52"/>
      <c r="C61" s="53"/>
    </row>
    <row r="62" ht="18" customHeight="1" spans="1:3">
      <c r="A62" s="51" t="s">
        <v>609</v>
      </c>
      <c r="B62" s="52"/>
      <c r="C62" s="53"/>
    </row>
    <row r="63" ht="18" customHeight="1" spans="1:3">
      <c r="A63" s="51" t="s">
        <v>610</v>
      </c>
      <c r="B63" s="52"/>
      <c r="C63" s="53"/>
    </row>
    <row r="64" ht="18" customHeight="1" spans="1:3">
      <c r="A64" s="51" t="s">
        <v>611</v>
      </c>
      <c r="B64" s="52"/>
      <c r="C64" s="53"/>
    </row>
    <row r="65" ht="18" customHeight="1" spans="1:3">
      <c r="A65" s="51" t="s">
        <v>612</v>
      </c>
      <c r="B65" s="52"/>
      <c r="C65" s="53"/>
    </row>
    <row r="66" ht="18" customHeight="1" spans="1:3">
      <c r="A66" s="51" t="s">
        <v>613</v>
      </c>
      <c r="B66" s="52"/>
      <c r="C66" s="53"/>
    </row>
    <row r="67" ht="18" customHeight="1" spans="1:3">
      <c r="A67" s="51" t="s">
        <v>614</v>
      </c>
      <c r="B67" s="52"/>
      <c r="C67" s="53"/>
    </row>
    <row r="68" ht="18" customHeight="1" spans="1:3">
      <c r="A68" s="51" t="s">
        <v>615</v>
      </c>
      <c r="B68" s="52"/>
      <c r="C68" s="53"/>
    </row>
    <row r="69" ht="18" customHeight="1" spans="1:3">
      <c r="A69" s="51" t="s">
        <v>616</v>
      </c>
      <c r="B69" s="52"/>
      <c r="C69" s="53"/>
    </row>
    <row r="70" ht="18" customHeight="1" spans="1:3">
      <c r="A70" s="51" t="s">
        <v>617</v>
      </c>
      <c r="B70" s="52"/>
      <c r="C70" s="53"/>
    </row>
    <row r="71" ht="18" customHeight="1" spans="1:3">
      <c r="A71" s="51" t="s">
        <v>618</v>
      </c>
      <c r="B71" s="52"/>
      <c r="C71" s="53"/>
    </row>
    <row r="72" ht="18" customHeight="1" spans="1:3">
      <c r="A72" s="51" t="s">
        <v>619</v>
      </c>
      <c r="B72" s="52"/>
      <c r="C72" s="53"/>
    </row>
    <row r="73" ht="18" customHeight="1" spans="1:3">
      <c r="A73" s="51" t="s">
        <v>620</v>
      </c>
      <c r="B73" s="52"/>
      <c r="C73" s="53"/>
    </row>
    <row r="74" ht="18" customHeight="1" spans="1:3">
      <c r="A74" s="51" t="s">
        <v>621</v>
      </c>
      <c r="B74" s="52"/>
      <c r="C74" s="53"/>
    </row>
    <row r="75" ht="18" customHeight="1" spans="1:3">
      <c r="A75" s="51" t="s">
        <v>622</v>
      </c>
      <c r="B75" s="52"/>
      <c r="C75" s="53"/>
    </row>
    <row r="76" ht="18" customHeight="1" spans="1:3">
      <c r="A76" s="51" t="s">
        <v>623</v>
      </c>
      <c r="B76" s="52"/>
      <c r="C76" s="53"/>
    </row>
    <row r="77" ht="18" customHeight="1" spans="1:3">
      <c r="A77" s="51" t="s">
        <v>624</v>
      </c>
      <c r="B77" s="52"/>
      <c r="C77" s="53"/>
    </row>
    <row r="78" ht="18" customHeight="1" spans="1:3">
      <c r="A78" s="51" t="s">
        <v>625</v>
      </c>
      <c r="B78" s="52"/>
      <c r="C78" s="53"/>
    </row>
    <row r="79" ht="18" customHeight="1" spans="1:3">
      <c r="A79" s="51" t="s">
        <v>626</v>
      </c>
      <c r="B79" s="52"/>
      <c r="C79" s="53"/>
    </row>
    <row r="80" ht="18" customHeight="1" spans="1:3">
      <c r="A80" s="51" t="s">
        <v>627</v>
      </c>
      <c r="B80" s="52"/>
      <c r="C80" s="53"/>
    </row>
    <row r="81" ht="18" customHeight="1" spans="1:3">
      <c r="A81" s="51" t="s">
        <v>628</v>
      </c>
      <c r="B81" s="52"/>
      <c r="C81" s="53"/>
    </row>
    <row r="82" ht="18" customHeight="1" spans="1:3">
      <c r="A82" s="51" t="s">
        <v>629</v>
      </c>
      <c r="B82" s="52"/>
      <c r="C82" s="53"/>
    </row>
    <row r="83" ht="18" customHeight="1" spans="1:3">
      <c r="A83" s="51" t="s">
        <v>630</v>
      </c>
      <c r="B83" s="52"/>
      <c r="C83" s="53"/>
    </row>
    <row r="84" ht="18" customHeight="1" spans="1:3">
      <c r="A84" s="51" t="s">
        <v>631</v>
      </c>
      <c r="B84" s="52"/>
      <c r="C84" s="53"/>
    </row>
    <row r="85" ht="18" customHeight="1" spans="1:3">
      <c r="A85" s="51" t="s">
        <v>632</v>
      </c>
      <c r="B85" s="52"/>
      <c r="C85" s="53"/>
    </row>
    <row r="86" ht="18" customHeight="1" spans="1:3">
      <c r="A86" s="51" t="s">
        <v>633</v>
      </c>
      <c r="B86" s="52"/>
      <c r="C86" s="53"/>
    </row>
    <row r="87" ht="18" customHeight="1" spans="1:3">
      <c r="A87" s="51" t="s">
        <v>634</v>
      </c>
      <c r="B87" s="52"/>
      <c r="C87" s="53"/>
    </row>
    <row r="88" ht="18" customHeight="1" spans="1:3">
      <c r="A88" s="51" t="s">
        <v>635</v>
      </c>
      <c r="B88" s="52"/>
      <c r="C88" s="53"/>
    </row>
    <row r="89" ht="18" customHeight="1" spans="1:3">
      <c r="A89" s="51" t="s">
        <v>636</v>
      </c>
      <c r="B89" s="52"/>
      <c r="C89" s="53"/>
    </row>
    <row r="90" ht="18" customHeight="1" spans="1:3">
      <c r="A90" s="51" t="s">
        <v>637</v>
      </c>
      <c r="B90" s="52"/>
      <c r="C90" s="53"/>
    </row>
    <row r="91" ht="18" customHeight="1" spans="1:3">
      <c r="A91" s="51" t="s">
        <v>638</v>
      </c>
      <c r="B91" s="52"/>
      <c r="C91" s="53"/>
    </row>
    <row r="92" ht="18" customHeight="1" spans="1:3">
      <c r="A92" s="51" t="s">
        <v>639</v>
      </c>
      <c r="B92" s="52"/>
      <c r="C92" s="53"/>
    </row>
    <row r="93" ht="18" customHeight="1" spans="1:3">
      <c r="A93" s="51" t="s">
        <v>640</v>
      </c>
      <c r="B93" s="52"/>
      <c r="C93" s="53"/>
    </row>
    <row r="94" ht="18" customHeight="1" spans="1:3">
      <c r="A94" s="51" t="s">
        <v>641</v>
      </c>
      <c r="B94" s="52"/>
      <c r="C94" s="53"/>
    </row>
    <row r="95" ht="18" customHeight="1" spans="1:3">
      <c r="A95" s="51" t="s">
        <v>642</v>
      </c>
      <c r="B95" s="52"/>
      <c r="C95" s="53"/>
    </row>
    <row r="96" ht="18" customHeight="1" spans="1:3">
      <c r="A96" s="51" t="s">
        <v>643</v>
      </c>
      <c r="B96" s="52"/>
      <c r="C96" s="53"/>
    </row>
    <row r="97" ht="18" customHeight="1" spans="1:3">
      <c r="A97" s="51" t="s">
        <v>644</v>
      </c>
      <c r="B97" s="52"/>
      <c r="C97" s="53"/>
    </row>
    <row r="98" ht="18" customHeight="1" spans="1:3">
      <c r="A98" s="51" t="s">
        <v>645</v>
      </c>
      <c r="B98" s="52"/>
      <c r="C98" s="53"/>
    </row>
    <row r="99" ht="18" customHeight="1" spans="1:3">
      <c r="A99" s="51" t="s">
        <v>646</v>
      </c>
      <c r="B99" s="52"/>
      <c r="C99" s="53"/>
    </row>
    <row r="100" ht="18" customHeight="1" spans="1:3">
      <c r="A100" s="51" t="s">
        <v>647</v>
      </c>
      <c r="B100" s="52"/>
      <c r="C100" s="53"/>
    </row>
    <row r="101" ht="18" customHeight="1" spans="1:3">
      <c r="A101" s="51" t="s">
        <v>648</v>
      </c>
      <c r="B101" s="52"/>
      <c r="C101" s="53"/>
    </row>
    <row r="102" ht="18" customHeight="1" spans="1:3">
      <c r="A102" s="51" t="s">
        <v>649</v>
      </c>
      <c r="B102" s="52"/>
      <c r="C102" s="53"/>
    </row>
    <row r="103" ht="18" customHeight="1" spans="1:3">
      <c r="A103" s="51" t="s">
        <v>650</v>
      </c>
      <c r="B103" s="52"/>
      <c r="C103" s="53"/>
    </row>
    <row r="104" ht="18" customHeight="1" spans="1:3">
      <c r="A104" s="51" t="s">
        <v>651</v>
      </c>
      <c r="B104" s="52"/>
      <c r="C104" s="53"/>
    </row>
    <row r="105" ht="18" customHeight="1" spans="1:3">
      <c r="A105" s="51" t="s">
        <v>652</v>
      </c>
      <c r="B105" s="52"/>
      <c r="C105" s="53"/>
    </row>
    <row r="106" ht="18" customHeight="1" spans="1:3">
      <c r="A106" s="51" t="s">
        <v>653</v>
      </c>
      <c r="B106" s="52"/>
      <c r="C106" s="53"/>
    </row>
    <row r="107" ht="18" customHeight="1" spans="1:3">
      <c r="A107" s="51" t="s">
        <v>654</v>
      </c>
      <c r="B107" s="52"/>
      <c r="C107" s="53"/>
    </row>
    <row r="108" ht="18" customHeight="1" spans="1:3">
      <c r="A108" s="51" t="s">
        <v>655</v>
      </c>
      <c r="B108" s="52"/>
      <c r="C108" s="53"/>
    </row>
    <row r="109" ht="18" customHeight="1" spans="1:3">
      <c r="A109" s="51" t="s">
        <v>656</v>
      </c>
      <c r="B109" s="52"/>
      <c r="C109" s="53"/>
    </row>
    <row r="110" ht="18" customHeight="1" spans="1:3">
      <c r="A110" s="51" t="s">
        <v>657</v>
      </c>
      <c r="B110" s="52"/>
      <c r="C110" s="53"/>
    </row>
    <row r="111" ht="18" customHeight="1" spans="1:3">
      <c r="A111" s="51" t="s">
        <v>658</v>
      </c>
      <c r="B111" s="52"/>
      <c r="C111" s="53"/>
    </row>
    <row r="112" ht="18" customHeight="1" spans="1:3">
      <c r="A112" s="51" t="s">
        <v>659</v>
      </c>
      <c r="B112" s="52"/>
      <c r="C112" s="53"/>
    </row>
    <row r="113" ht="18" customHeight="1" spans="1:3">
      <c r="A113" s="51" t="s">
        <v>660</v>
      </c>
      <c r="B113" s="52"/>
      <c r="C113" s="53"/>
    </row>
    <row r="114" ht="18" customHeight="1" spans="1:3">
      <c r="A114" s="51" t="s">
        <v>661</v>
      </c>
      <c r="B114" s="52"/>
      <c r="C114" s="53"/>
    </row>
    <row r="115" ht="18" customHeight="1" spans="1:3">
      <c r="A115" s="51" t="s">
        <v>662</v>
      </c>
      <c r="B115" s="52"/>
      <c r="C115" s="53"/>
    </row>
    <row r="116" ht="18" customHeight="1" spans="1:3">
      <c r="A116" s="51" t="s">
        <v>663</v>
      </c>
      <c r="B116" s="52"/>
      <c r="C116" s="53"/>
    </row>
    <row r="117" ht="18" customHeight="1" spans="1:3">
      <c r="A117" s="51" t="s">
        <v>664</v>
      </c>
      <c r="B117" s="52"/>
      <c r="C117" s="53"/>
    </row>
    <row r="118" ht="18" customHeight="1" spans="1:3">
      <c r="A118" s="51" t="s">
        <v>665</v>
      </c>
      <c r="B118" s="52"/>
      <c r="C118" s="53"/>
    </row>
    <row r="119" ht="18" customHeight="1" spans="1:3">
      <c r="A119" s="51" t="s">
        <v>666</v>
      </c>
      <c r="B119" s="52"/>
      <c r="C119" s="53"/>
    </row>
    <row r="120" ht="18" customHeight="1" spans="1:3">
      <c r="A120" s="51" t="s">
        <v>667</v>
      </c>
      <c r="B120" s="52"/>
      <c r="C120" s="53"/>
    </row>
    <row r="121" ht="18" customHeight="1" spans="1:3">
      <c r="A121" s="51" t="s">
        <v>668</v>
      </c>
      <c r="B121" s="52"/>
      <c r="C121" s="53"/>
    </row>
    <row r="122" ht="18" customHeight="1" spans="1:3">
      <c r="A122" s="51" t="s">
        <v>669</v>
      </c>
      <c r="B122" s="52"/>
      <c r="C122" s="53"/>
    </row>
    <row r="123" ht="18" customHeight="1" spans="1:3">
      <c r="A123" s="51" t="s">
        <v>670</v>
      </c>
      <c r="B123" s="52"/>
      <c r="C123" s="53"/>
    </row>
    <row r="124" ht="18" customHeight="1" spans="1:3">
      <c r="A124" s="51" t="s">
        <v>671</v>
      </c>
      <c r="B124" s="52"/>
      <c r="C124" s="53"/>
    </row>
    <row r="125" ht="18" customHeight="1" spans="1:3">
      <c r="A125" s="51" t="s">
        <v>672</v>
      </c>
      <c r="B125" s="52"/>
      <c r="C125" s="53"/>
    </row>
    <row r="126" ht="18" customHeight="1" spans="1:3">
      <c r="A126" s="51" t="s">
        <v>673</v>
      </c>
      <c r="B126" s="52"/>
      <c r="C126" s="53"/>
    </row>
    <row r="127" ht="18" customHeight="1" spans="1:3">
      <c r="A127" s="51" t="s">
        <v>674</v>
      </c>
      <c r="B127" s="52"/>
      <c r="C127" s="53"/>
    </row>
    <row r="128" ht="18" customHeight="1" spans="1:3">
      <c r="A128" s="51" t="s">
        <v>675</v>
      </c>
      <c r="B128" s="52"/>
      <c r="C128" s="53"/>
    </row>
    <row r="129" ht="18" customHeight="1" spans="1:3">
      <c r="A129" s="51" t="s">
        <v>676</v>
      </c>
      <c r="B129" s="52"/>
      <c r="C129" s="53"/>
    </row>
    <row r="130" ht="18" customHeight="1" spans="1:3">
      <c r="A130" s="51" t="s">
        <v>677</v>
      </c>
      <c r="B130" s="52"/>
      <c r="C130" s="53"/>
    </row>
    <row r="131" ht="18" customHeight="1" spans="1:3">
      <c r="A131" s="51" t="s">
        <v>678</v>
      </c>
      <c r="B131" s="52"/>
      <c r="C131" s="53"/>
    </row>
    <row r="132" ht="18" customHeight="1" spans="1:3">
      <c r="A132" s="51" t="s">
        <v>679</v>
      </c>
      <c r="B132" s="52"/>
      <c r="C132" s="53"/>
    </row>
    <row r="133" ht="18" customHeight="1" spans="1:3">
      <c r="A133" s="51" t="s">
        <v>680</v>
      </c>
      <c r="B133" s="52"/>
      <c r="C133" s="53"/>
    </row>
    <row r="134" ht="18" customHeight="1" spans="1:3">
      <c r="A134" s="51" t="s">
        <v>681</v>
      </c>
      <c r="B134" s="52"/>
      <c r="C134" s="53"/>
    </row>
    <row r="135" ht="18" customHeight="1" spans="1:3">
      <c r="A135" s="51" t="s">
        <v>682</v>
      </c>
      <c r="B135" s="52"/>
      <c r="C135" s="53"/>
    </row>
    <row r="136" ht="18" customHeight="1" spans="1:3">
      <c r="A136" s="51" t="s">
        <v>683</v>
      </c>
      <c r="B136" s="52"/>
      <c r="C136" s="53"/>
    </row>
    <row r="137" ht="18" customHeight="1" spans="1:3">
      <c r="A137" s="51" t="s">
        <v>684</v>
      </c>
      <c r="B137" s="52"/>
      <c r="C137" s="53"/>
    </row>
    <row r="138" ht="18" customHeight="1" spans="1:3">
      <c r="A138" s="51" t="s">
        <v>685</v>
      </c>
      <c r="B138" s="52"/>
      <c r="C138" s="53"/>
    </row>
    <row r="139" ht="18" customHeight="1" spans="1:3">
      <c r="A139" s="51" t="s">
        <v>686</v>
      </c>
      <c r="B139" s="52"/>
      <c r="C139" s="53"/>
    </row>
    <row r="140" ht="18" customHeight="1" spans="1:3">
      <c r="A140" s="51" t="s">
        <v>687</v>
      </c>
      <c r="B140" s="52"/>
      <c r="C140" s="53"/>
    </row>
    <row r="141" ht="18" customHeight="1" spans="1:3">
      <c r="A141" s="51" t="s">
        <v>688</v>
      </c>
      <c r="B141" s="52"/>
      <c r="C141" s="53"/>
    </row>
    <row r="142" ht="18" customHeight="1" spans="1:3">
      <c r="A142" s="51" t="s">
        <v>689</v>
      </c>
      <c r="B142" s="52"/>
      <c r="C142" s="53"/>
    </row>
    <row r="143" ht="18" customHeight="1" spans="1:3">
      <c r="A143" s="51" t="s">
        <v>690</v>
      </c>
      <c r="B143" s="52"/>
      <c r="C143" s="53"/>
    </row>
    <row r="144" ht="18" customHeight="1" spans="1:3">
      <c r="A144" s="51" t="s">
        <v>691</v>
      </c>
      <c r="B144" s="52"/>
      <c r="C144" s="53"/>
    </row>
    <row r="145" ht="18" customHeight="1" spans="1:3">
      <c r="A145" s="51" t="s">
        <v>692</v>
      </c>
      <c r="B145" s="52"/>
      <c r="C145" s="53"/>
    </row>
    <row r="146" ht="18" customHeight="1" spans="1:3">
      <c r="A146" s="51" t="s">
        <v>693</v>
      </c>
      <c r="B146" s="52"/>
      <c r="C146" s="53"/>
    </row>
    <row r="147" ht="18" customHeight="1" spans="1:3">
      <c r="A147" s="51" t="s">
        <v>694</v>
      </c>
      <c r="B147" s="52"/>
      <c r="C147" s="53"/>
    </row>
    <row r="148" ht="18" customHeight="1" spans="1:3">
      <c r="A148" s="51" t="s">
        <v>695</v>
      </c>
      <c r="B148" s="52"/>
      <c r="C148" s="53"/>
    </row>
    <row r="149" ht="18" customHeight="1" spans="1:3">
      <c r="A149" s="51" t="s">
        <v>696</v>
      </c>
      <c r="B149" s="52"/>
      <c r="C149" s="53"/>
    </row>
    <row r="150" ht="18" customHeight="1" spans="1:3">
      <c r="A150" s="51" t="s">
        <v>697</v>
      </c>
      <c r="B150" s="52"/>
      <c r="C150" s="53"/>
    </row>
    <row r="151" ht="18" customHeight="1" spans="1:3">
      <c r="A151" s="51" t="s">
        <v>698</v>
      </c>
      <c r="B151" s="52"/>
      <c r="C151" s="53"/>
    </row>
    <row r="152" ht="18" customHeight="1" spans="1:3">
      <c r="A152" s="51" t="s">
        <v>699</v>
      </c>
      <c r="B152" s="52"/>
      <c r="C152" s="53"/>
    </row>
    <row r="153" ht="18" customHeight="1" spans="1:3">
      <c r="A153" s="51" t="s">
        <v>700</v>
      </c>
      <c r="B153" s="52"/>
      <c r="C153" s="53"/>
    </row>
    <row r="154" ht="18" customHeight="1" spans="1:3">
      <c r="A154" s="51" t="s">
        <v>701</v>
      </c>
      <c r="B154" s="52"/>
      <c r="C154" s="53"/>
    </row>
    <row r="155" ht="18" customHeight="1" spans="1:3">
      <c r="A155" s="51" t="s">
        <v>702</v>
      </c>
      <c r="B155" s="52"/>
      <c r="C155" s="53"/>
    </row>
    <row r="156" ht="18" customHeight="1" spans="1:3">
      <c r="A156" s="51" t="s">
        <v>703</v>
      </c>
      <c r="B156" s="52"/>
      <c r="C156" s="53"/>
    </row>
    <row r="157" ht="18" customHeight="1" spans="1:3">
      <c r="A157" s="51" t="s">
        <v>704</v>
      </c>
      <c r="B157" s="52"/>
      <c r="C157" s="53"/>
    </row>
    <row r="158" ht="18" customHeight="1" spans="1:3">
      <c r="A158" s="51" t="s">
        <v>705</v>
      </c>
      <c r="B158" s="52"/>
      <c r="C158" s="53"/>
    </row>
    <row r="159" ht="18" customHeight="1" spans="1:3">
      <c r="A159" s="51" t="s">
        <v>706</v>
      </c>
      <c r="B159" s="52"/>
      <c r="C159" s="53"/>
    </row>
    <row r="160" ht="18" customHeight="1" spans="1:3">
      <c r="A160" s="51" t="s">
        <v>707</v>
      </c>
      <c r="B160" s="52"/>
      <c r="C160" s="53"/>
    </row>
    <row r="161" ht="18" customHeight="1" spans="1:3">
      <c r="A161" s="51" t="s">
        <v>708</v>
      </c>
      <c r="B161" s="52"/>
      <c r="C161" s="53"/>
    </row>
    <row r="162" ht="18" customHeight="1" spans="1:3">
      <c r="A162" s="51" t="s">
        <v>709</v>
      </c>
      <c r="B162" s="52"/>
      <c r="C162" s="53"/>
    </row>
    <row r="163" ht="18" customHeight="1" spans="1:3">
      <c r="A163" s="51" t="s">
        <v>710</v>
      </c>
      <c r="B163" s="52"/>
      <c r="C163" s="53"/>
    </row>
    <row r="164" ht="18" customHeight="1" spans="1:3">
      <c r="A164" s="51" t="s">
        <v>711</v>
      </c>
      <c r="B164" s="52"/>
      <c r="C164" s="53"/>
    </row>
    <row r="165" ht="18" customHeight="1" spans="1:3">
      <c r="A165" s="51" t="s">
        <v>712</v>
      </c>
      <c r="B165" s="52"/>
      <c r="C165" s="53"/>
    </row>
    <row r="166" ht="18" customHeight="1" spans="1:3">
      <c r="A166" s="51" t="s">
        <v>713</v>
      </c>
      <c r="B166" s="52"/>
      <c r="C166" s="53"/>
    </row>
    <row r="167" ht="18" customHeight="1" spans="1:3">
      <c r="A167" s="51" t="s">
        <v>714</v>
      </c>
      <c r="B167" s="52"/>
      <c r="C167" s="53"/>
    </row>
    <row r="168" ht="18" customHeight="1" spans="1:3">
      <c r="A168" s="51" t="s">
        <v>715</v>
      </c>
      <c r="B168" s="52"/>
      <c r="C168" s="53"/>
    </row>
    <row r="169" ht="18" customHeight="1" spans="1:3">
      <c r="A169" s="51" t="s">
        <v>716</v>
      </c>
      <c r="B169" s="52"/>
      <c r="C169" s="53"/>
    </row>
    <row r="170" ht="18" customHeight="1" spans="1:3">
      <c r="A170" s="54" t="s">
        <v>717</v>
      </c>
      <c r="B170" s="55"/>
      <c r="C170" s="56"/>
    </row>
  </sheetData>
  <pageMargins left="0.7" right="0.7" top="0.75" bottom="0.75" header="0.3" footer="0.3"/>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S17"/>
  <sheetViews>
    <sheetView showGridLines="0" showZeros="0" zoomScale="90" zoomScaleNormal="90" workbookViewId="0">
      <pane xSplit="1" ySplit="3" topLeftCell="B4" activePane="bottomRight" state="frozen"/>
      <selection/>
      <selection pane="topRight"/>
      <selection pane="bottomLeft"/>
      <selection pane="bottomRight" activeCell="F7" sqref="F7"/>
    </sheetView>
  </sheetViews>
  <sheetFormatPr defaultColWidth="8.1" defaultRowHeight="15"/>
  <cols>
    <col min="1" max="1" width="3.8" style="5" customWidth="1"/>
    <col min="2" max="2" width="6.4" style="5" customWidth="1"/>
    <col min="3" max="3" width="12.7" style="5" customWidth="1"/>
    <col min="4" max="4" width="14.6" style="5" customWidth="1"/>
    <col min="5" max="5" width="8.1" style="5"/>
    <col min="6" max="6" width="14.8" style="5" customWidth="1"/>
    <col min="7" max="7" width="8.1" style="5"/>
    <col min="8" max="8" width="11.4" style="5" customWidth="1"/>
    <col min="9" max="9" width="8.1" style="5"/>
    <col min="10" max="10" width="10.3" style="5" customWidth="1"/>
    <col min="11" max="11" width="11.2" style="5" customWidth="1"/>
    <col min="12" max="16" width="8.1" style="5"/>
    <col min="17" max="17" width="10.8" style="5" customWidth="1"/>
    <col min="18" max="256" width="8.1" style="5"/>
    <col min="257" max="257" width="3.8" style="5" customWidth="1"/>
    <col min="258" max="258" width="6.4" style="5" customWidth="1"/>
    <col min="259" max="259" width="12.7" style="5" customWidth="1"/>
    <col min="260" max="260" width="14.6" style="5" customWidth="1"/>
    <col min="261" max="261" width="8.1" style="5"/>
    <col min="262" max="262" width="14.8" style="5" customWidth="1"/>
    <col min="263" max="263" width="8.1" style="5"/>
    <col min="264" max="264" width="11.4" style="5" customWidth="1"/>
    <col min="265" max="265" width="8.1" style="5"/>
    <col min="266" max="266" width="10.3" style="5" customWidth="1"/>
    <col min="267" max="267" width="11.2" style="5" customWidth="1"/>
    <col min="268" max="272" width="8.1" style="5"/>
    <col min="273" max="273" width="10.8" style="5" customWidth="1"/>
    <col min="274" max="512" width="8.1" style="5"/>
    <col min="513" max="513" width="3.8" style="5" customWidth="1"/>
    <col min="514" max="514" width="6.4" style="5" customWidth="1"/>
    <col min="515" max="515" width="12.7" style="5" customWidth="1"/>
    <col min="516" max="516" width="14.6" style="5" customWidth="1"/>
    <col min="517" max="517" width="8.1" style="5"/>
    <col min="518" max="518" width="14.8" style="5" customWidth="1"/>
    <col min="519" max="519" width="8.1" style="5"/>
    <col min="520" max="520" width="11.4" style="5" customWidth="1"/>
    <col min="521" max="521" width="8.1" style="5"/>
    <col min="522" max="522" width="10.3" style="5" customWidth="1"/>
    <col min="523" max="523" width="11.2" style="5" customWidth="1"/>
    <col min="524" max="528" width="8.1" style="5"/>
    <col min="529" max="529" width="10.8" style="5" customWidth="1"/>
    <col min="530" max="768" width="8.1" style="5"/>
    <col min="769" max="769" width="3.8" style="5" customWidth="1"/>
    <col min="770" max="770" width="6.4" style="5" customWidth="1"/>
    <col min="771" max="771" width="12.7" style="5" customWidth="1"/>
    <col min="772" max="772" width="14.6" style="5" customWidth="1"/>
    <col min="773" max="773" width="8.1" style="5"/>
    <col min="774" max="774" width="14.8" style="5" customWidth="1"/>
    <col min="775" max="775" width="8.1" style="5"/>
    <col min="776" max="776" width="11.4" style="5" customWidth="1"/>
    <col min="777" max="777" width="8.1" style="5"/>
    <col min="778" max="778" width="10.3" style="5" customWidth="1"/>
    <col min="779" max="779" width="11.2" style="5" customWidth="1"/>
    <col min="780" max="784" width="8.1" style="5"/>
    <col min="785" max="785" width="10.8" style="5" customWidth="1"/>
    <col min="786" max="1024" width="8.1" style="5"/>
    <col min="1025" max="1025" width="3.8" style="5" customWidth="1"/>
    <col min="1026" max="1026" width="6.4" style="5" customWidth="1"/>
    <col min="1027" max="1027" width="12.7" style="5" customWidth="1"/>
    <col min="1028" max="1028" width="14.6" style="5" customWidth="1"/>
    <col min="1029" max="1029" width="8.1" style="5"/>
    <col min="1030" max="1030" width="14.8" style="5" customWidth="1"/>
    <col min="1031" max="1031" width="8.1" style="5"/>
    <col min="1032" max="1032" width="11.4" style="5" customWidth="1"/>
    <col min="1033" max="1033" width="8.1" style="5"/>
    <col min="1034" max="1034" width="10.3" style="5" customWidth="1"/>
    <col min="1035" max="1035" width="11.2" style="5" customWidth="1"/>
    <col min="1036" max="1040" width="8.1" style="5"/>
    <col min="1041" max="1041" width="10.8" style="5" customWidth="1"/>
    <col min="1042" max="1280" width="8.1" style="5"/>
    <col min="1281" max="1281" width="3.8" style="5" customWidth="1"/>
    <col min="1282" max="1282" width="6.4" style="5" customWidth="1"/>
    <col min="1283" max="1283" width="12.7" style="5" customWidth="1"/>
    <col min="1284" max="1284" width="14.6" style="5" customWidth="1"/>
    <col min="1285" max="1285" width="8.1" style="5"/>
    <col min="1286" max="1286" width="14.8" style="5" customWidth="1"/>
    <col min="1287" max="1287" width="8.1" style="5"/>
    <col min="1288" max="1288" width="11.4" style="5" customWidth="1"/>
    <col min="1289" max="1289" width="8.1" style="5"/>
    <col min="1290" max="1290" width="10.3" style="5" customWidth="1"/>
    <col min="1291" max="1291" width="11.2" style="5" customWidth="1"/>
    <col min="1292" max="1296" width="8.1" style="5"/>
    <col min="1297" max="1297" width="10.8" style="5" customWidth="1"/>
    <col min="1298" max="1536" width="8.1" style="5"/>
    <col min="1537" max="1537" width="3.8" style="5" customWidth="1"/>
    <col min="1538" max="1538" width="6.4" style="5" customWidth="1"/>
    <col min="1539" max="1539" width="12.7" style="5" customWidth="1"/>
    <col min="1540" max="1540" width="14.6" style="5" customWidth="1"/>
    <col min="1541" max="1541" width="8.1" style="5"/>
    <col min="1542" max="1542" width="14.8" style="5" customWidth="1"/>
    <col min="1543" max="1543" width="8.1" style="5"/>
    <col min="1544" max="1544" width="11.4" style="5" customWidth="1"/>
    <col min="1545" max="1545" width="8.1" style="5"/>
    <col min="1546" max="1546" width="10.3" style="5" customWidth="1"/>
    <col min="1547" max="1547" width="11.2" style="5" customWidth="1"/>
    <col min="1548" max="1552" width="8.1" style="5"/>
    <col min="1553" max="1553" width="10.8" style="5" customWidth="1"/>
    <col min="1554" max="1792" width="8.1" style="5"/>
    <col min="1793" max="1793" width="3.8" style="5" customWidth="1"/>
    <col min="1794" max="1794" width="6.4" style="5" customWidth="1"/>
    <col min="1795" max="1795" width="12.7" style="5" customWidth="1"/>
    <col min="1796" max="1796" width="14.6" style="5" customWidth="1"/>
    <col min="1797" max="1797" width="8.1" style="5"/>
    <col min="1798" max="1798" width="14.8" style="5" customWidth="1"/>
    <col min="1799" max="1799" width="8.1" style="5"/>
    <col min="1800" max="1800" width="11.4" style="5" customWidth="1"/>
    <col min="1801" max="1801" width="8.1" style="5"/>
    <col min="1802" max="1802" width="10.3" style="5" customWidth="1"/>
    <col min="1803" max="1803" width="11.2" style="5" customWidth="1"/>
    <col min="1804" max="1808" width="8.1" style="5"/>
    <col min="1809" max="1809" width="10.8" style="5" customWidth="1"/>
    <col min="1810" max="2048" width="8.1" style="5"/>
    <col min="2049" max="2049" width="3.8" style="5" customWidth="1"/>
    <col min="2050" max="2050" width="6.4" style="5" customWidth="1"/>
    <col min="2051" max="2051" width="12.7" style="5" customWidth="1"/>
    <col min="2052" max="2052" width="14.6" style="5" customWidth="1"/>
    <col min="2053" max="2053" width="8.1" style="5"/>
    <col min="2054" max="2054" width="14.8" style="5" customWidth="1"/>
    <col min="2055" max="2055" width="8.1" style="5"/>
    <col min="2056" max="2056" width="11.4" style="5" customWidth="1"/>
    <col min="2057" max="2057" width="8.1" style="5"/>
    <col min="2058" max="2058" width="10.3" style="5" customWidth="1"/>
    <col min="2059" max="2059" width="11.2" style="5" customWidth="1"/>
    <col min="2060" max="2064" width="8.1" style="5"/>
    <col min="2065" max="2065" width="10.8" style="5" customWidth="1"/>
    <col min="2066" max="2304" width="8.1" style="5"/>
    <col min="2305" max="2305" width="3.8" style="5" customWidth="1"/>
    <col min="2306" max="2306" width="6.4" style="5" customWidth="1"/>
    <col min="2307" max="2307" width="12.7" style="5" customWidth="1"/>
    <col min="2308" max="2308" width="14.6" style="5" customWidth="1"/>
    <col min="2309" max="2309" width="8.1" style="5"/>
    <col min="2310" max="2310" width="14.8" style="5" customWidth="1"/>
    <col min="2311" max="2311" width="8.1" style="5"/>
    <col min="2312" max="2312" width="11.4" style="5" customWidth="1"/>
    <col min="2313" max="2313" width="8.1" style="5"/>
    <col min="2314" max="2314" width="10.3" style="5" customWidth="1"/>
    <col min="2315" max="2315" width="11.2" style="5" customWidth="1"/>
    <col min="2316" max="2320" width="8.1" style="5"/>
    <col min="2321" max="2321" width="10.8" style="5" customWidth="1"/>
    <col min="2322" max="2560" width="8.1" style="5"/>
    <col min="2561" max="2561" width="3.8" style="5" customWidth="1"/>
    <col min="2562" max="2562" width="6.4" style="5" customWidth="1"/>
    <col min="2563" max="2563" width="12.7" style="5" customWidth="1"/>
    <col min="2564" max="2564" width="14.6" style="5" customWidth="1"/>
    <col min="2565" max="2565" width="8.1" style="5"/>
    <col min="2566" max="2566" width="14.8" style="5" customWidth="1"/>
    <col min="2567" max="2567" width="8.1" style="5"/>
    <col min="2568" max="2568" width="11.4" style="5" customWidth="1"/>
    <col min="2569" max="2569" width="8.1" style="5"/>
    <col min="2570" max="2570" width="10.3" style="5" customWidth="1"/>
    <col min="2571" max="2571" width="11.2" style="5" customWidth="1"/>
    <col min="2572" max="2576" width="8.1" style="5"/>
    <col min="2577" max="2577" width="10.8" style="5" customWidth="1"/>
    <col min="2578" max="2816" width="8.1" style="5"/>
    <col min="2817" max="2817" width="3.8" style="5" customWidth="1"/>
    <col min="2818" max="2818" width="6.4" style="5" customWidth="1"/>
    <col min="2819" max="2819" width="12.7" style="5" customWidth="1"/>
    <col min="2820" max="2820" width="14.6" style="5" customWidth="1"/>
    <col min="2821" max="2821" width="8.1" style="5"/>
    <col min="2822" max="2822" width="14.8" style="5" customWidth="1"/>
    <col min="2823" max="2823" width="8.1" style="5"/>
    <col min="2824" max="2824" width="11.4" style="5" customWidth="1"/>
    <col min="2825" max="2825" width="8.1" style="5"/>
    <col min="2826" max="2826" width="10.3" style="5" customWidth="1"/>
    <col min="2827" max="2827" width="11.2" style="5" customWidth="1"/>
    <col min="2828" max="2832" width="8.1" style="5"/>
    <col min="2833" max="2833" width="10.8" style="5" customWidth="1"/>
    <col min="2834" max="3072" width="8.1" style="5"/>
    <col min="3073" max="3073" width="3.8" style="5" customWidth="1"/>
    <col min="3074" max="3074" width="6.4" style="5" customWidth="1"/>
    <col min="3075" max="3075" width="12.7" style="5" customWidth="1"/>
    <col min="3076" max="3076" width="14.6" style="5" customWidth="1"/>
    <col min="3077" max="3077" width="8.1" style="5"/>
    <col min="3078" max="3078" width="14.8" style="5" customWidth="1"/>
    <col min="3079" max="3079" width="8.1" style="5"/>
    <col min="3080" max="3080" width="11.4" style="5" customWidth="1"/>
    <col min="3081" max="3081" width="8.1" style="5"/>
    <col min="3082" max="3082" width="10.3" style="5" customWidth="1"/>
    <col min="3083" max="3083" width="11.2" style="5" customWidth="1"/>
    <col min="3084" max="3088" width="8.1" style="5"/>
    <col min="3089" max="3089" width="10.8" style="5" customWidth="1"/>
    <col min="3090" max="3328" width="8.1" style="5"/>
    <col min="3329" max="3329" width="3.8" style="5" customWidth="1"/>
    <col min="3330" max="3330" width="6.4" style="5" customWidth="1"/>
    <col min="3331" max="3331" width="12.7" style="5" customWidth="1"/>
    <col min="3332" max="3332" width="14.6" style="5" customWidth="1"/>
    <col min="3333" max="3333" width="8.1" style="5"/>
    <col min="3334" max="3334" width="14.8" style="5" customWidth="1"/>
    <col min="3335" max="3335" width="8.1" style="5"/>
    <col min="3336" max="3336" width="11.4" style="5" customWidth="1"/>
    <col min="3337" max="3337" width="8.1" style="5"/>
    <col min="3338" max="3338" width="10.3" style="5" customWidth="1"/>
    <col min="3339" max="3339" width="11.2" style="5" customWidth="1"/>
    <col min="3340" max="3344" width="8.1" style="5"/>
    <col min="3345" max="3345" width="10.8" style="5" customWidth="1"/>
    <col min="3346" max="3584" width="8.1" style="5"/>
    <col min="3585" max="3585" width="3.8" style="5" customWidth="1"/>
    <col min="3586" max="3586" width="6.4" style="5" customWidth="1"/>
    <col min="3587" max="3587" width="12.7" style="5" customWidth="1"/>
    <col min="3588" max="3588" width="14.6" style="5" customWidth="1"/>
    <col min="3589" max="3589" width="8.1" style="5"/>
    <col min="3590" max="3590" width="14.8" style="5" customWidth="1"/>
    <col min="3591" max="3591" width="8.1" style="5"/>
    <col min="3592" max="3592" width="11.4" style="5" customWidth="1"/>
    <col min="3593" max="3593" width="8.1" style="5"/>
    <col min="3594" max="3594" width="10.3" style="5" customWidth="1"/>
    <col min="3595" max="3595" width="11.2" style="5" customWidth="1"/>
    <col min="3596" max="3600" width="8.1" style="5"/>
    <col min="3601" max="3601" width="10.8" style="5" customWidth="1"/>
    <col min="3602" max="3840" width="8.1" style="5"/>
    <col min="3841" max="3841" width="3.8" style="5" customWidth="1"/>
    <col min="3842" max="3842" width="6.4" style="5" customWidth="1"/>
    <col min="3843" max="3843" width="12.7" style="5" customWidth="1"/>
    <col min="3844" max="3844" width="14.6" style="5" customWidth="1"/>
    <col min="3845" max="3845" width="8.1" style="5"/>
    <col min="3846" max="3846" width="14.8" style="5" customWidth="1"/>
    <col min="3847" max="3847" width="8.1" style="5"/>
    <col min="3848" max="3848" width="11.4" style="5" customWidth="1"/>
    <col min="3849" max="3849" width="8.1" style="5"/>
    <col min="3850" max="3850" width="10.3" style="5" customWidth="1"/>
    <col min="3851" max="3851" width="11.2" style="5" customWidth="1"/>
    <col min="3852" max="3856" width="8.1" style="5"/>
    <col min="3857" max="3857" width="10.8" style="5" customWidth="1"/>
    <col min="3858" max="4096" width="8.1" style="5"/>
    <col min="4097" max="4097" width="3.8" style="5" customWidth="1"/>
    <col min="4098" max="4098" width="6.4" style="5" customWidth="1"/>
    <col min="4099" max="4099" width="12.7" style="5" customWidth="1"/>
    <col min="4100" max="4100" width="14.6" style="5" customWidth="1"/>
    <col min="4101" max="4101" width="8.1" style="5"/>
    <col min="4102" max="4102" width="14.8" style="5" customWidth="1"/>
    <col min="4103" max="4103" width="8.1" style="5"/>
    <col min="4104" max="4104" width="11.4" style="5" customWidth="1"/>
    <col min="4105" max="4105" width="8.1" style="5"/>
    <col min="4106" max="4106" width="10.3" style="5" customWidth="1"/>
    <col min="4107" max="4107" width="11.2" style="5" customWidth="1"/>
    <col min="4108" max="4112" width="8.1" style="5"/>
    <col min="4113" max="4113" width="10.8" style="5" customWidth="1"/>
    <col min="4114" max="4352" width="8.1" style="5"/>
    <col min="4353" max="4353" width="3.8" style="5" customWidth="1"/>
    <col min="4354" max="4354" width="6.4" style="5" customWidth="1"/>
    <col min="4355" max="4355" width="12.7" style="5" customWidth="1"/>
    <col min="4356" max="4356" width="14.6" style="5" customWidth="1"/>
    <col min="4357" max="4357" width="8.1" style="5"/>
    <col min="4358" max="4358" width="14.8" style="5" customWidth="1"/>
    <col min="4359" max="4359" width="8.1" style="5"/>
    <col min="4360" max="4360" width="11.4" style="5" customWidth="1"/>
    <col min="4361" max="4361" width="8.1" style="5"/>
    <col min="4362" max="4362" width="10.3" style="5" customWidth="1"/>
    <col min="4363" max="4363" width="11.2" style="5" customWidth="1"/>
    <col min="4364" max="4368" width="8.1" style="5"/>
    <col min="4369" max="4369" width="10.8" style="5" customWidth="1"/>
    <col min="4370" max="4608" width="8.1" style="5"/>
    <col min="4609" max="4609" width="3.8" style="5" customWidth="1"/>
    <col min="4610" max="4610" width="6.4" style="5" customWidth="1"/>
    <col min="4611" max="4611" width="12.7" style="5" customWidth="1"/>
    <col min="4612" max="4612" width="14.6" style="5" customWidth="1"/>
    <col min="4613" max="4613" width="8.1" style="5"/>
    <col min="4614" max="4614" width="14.8" style="5" customWidth="1"/>
    <col min="4615" max="4615" width="8.1" style="5"/>
    <col min="4616" max="4616" width="11.4" style="5" customWidth="1"/>
    <col min="4617" max="4617" width="8.1" style="5"/>
    <col min="4618" max="4618" width="10.3" style="5" customWidth="1"/>
    <col min="4619" max="4619" width="11.2" style="5" customWidth="1"/>
    <col min="4620" max="4624" width="8.1" style="5"/>
    <col min="4625" max="4625" width="10.8" style="5" customWidth="1"/>
    <col min="4626" max="4864" width="8.1" style="5"/>
    <col min="4865" max="4865" width="3.8" style="5" customWidth="1"/>
    <col min="4866" max="4866" width="6.4" style="5" customWidth="1"/>
    <col min="4867" max="4867" width="12.7" style="5" customWidth="1"/>
    <col min="4868" max="4868" width="14.6" style="5" customWidth="1"/>
    <col min="4869" max="4869" width="8.1" style="5"/>
    <col min="4870" max="4870" width="14.8" style="5" customWidth="1"/>
    <col min="4871" max="4871" width="8.1" style="5"/>
    <col min="4872" max="4872" width="11.4" style="5" customWidth="1"/>
    <col min="4873" max="4873" width="8.1" style="5"/>
    <col min="4874" max="4874" width="10.3" style="5" customWidth="1"/>
    <col min="4875" max="4875" width="11.2" style="5" customWidth="1"/>
    <col min="4876" max="4880" width="8.1" style="5"/>
    <col min="4881" max="4881" width="10.8" style="5" customWidth="1"/>
    <col min="4882" max="5120" width="8.1" style="5"/>
    <col min="5121" max="5121" width="3.8" style="5" customWidth="1"/>
    <col min="5122" max="5122" width="6.4" style="5" customWidth="1"/>
    <col min="5123" max="5123" width="12.7" style="5" customWidth="1"/>
    <col min="5124" max="5124" width="14.6" style="5" customWidth="1"/>
    <col min="5125" max="5125" width="8.1" style="5"/>
    <col min="5126" max="5126" width="14.8" style="5" customWidth="1"/>
    <col min="5127" max="5127" width="8.1" style="5"/>
    <col min="5128" max="5128" width="11.4" style="5" customWidth="1"/>
    <col min="5129" max="5129" width="8.1" style="5"/>
    <col min="5130" max="5130" width="10.3" style="5" customWidth="1"/>
    <col min="5131" max="5131" width="11.2" style="5" customWidth="1"/>
    <col min="5132" max="5136" width="8.1" style="5"/>
    <col min="5137" max="5137" width="10.8" style="5" customWidth="1"/>
    <col min="5138" max="5376" width="8.1" style="5"/>
    <col min="5377" max="5377" width="3.8" style="5" customWidth="1"/>
    <col min="5378" max="5378" width="6.4" style="5" customWidth="1"/>
    <col min="5379" max="5379" width="12.7" style="5" customWidth="1"/>
    <col min="5380" max="5380" width="14.6" style="5" customWidth="1"/>
    <col min="5381" max="5381" width="8.1" style="5"/>
    <col min="5382" max="5382" width="14.8" style="5" customWidth="1"/>
    <col min="5383" max="5383" width="8.1" style="5"/>
    <col min="5384" max="5384" width="11.4" style="5" customWidth="1"/>
    <col min="5385" max="5385" width="8.1" style="5"/>
    <col min="5386" max="5386" width="10.3" style="5" customWidth="1"/>
    <col min="5387" max="5387" width="11.2" style="5" customWidth="1"/>
    <col min="5388" max="5392" width="8.1" style="5"/>
    <col min="5393" max="5393" width="10.8" style="5" customWidth="1"/>
    <col min="5394" max="5632" width="8.1" style="5"/>
    <col min="5633" max="5633" width="3.8" style="5" customWidth="1"/>
    <col min="5634" max="5634" width="6.4" style="5" customWidth="1"/>
    <col min="5635" max="5635" width="12.7" style="5" customWidth="1"/>
    <col min="5636" max="5636" width="14.6" style="5" customWidth="1"/>
    <col min="5637" max="5637" width="8.1" style="5"/>
    <col min="5638" max="5638" width="14.8" style="5" customWidth="1"/>
    <col min="5639" max="5639" width="8.1" style="5"/>
    <col min="5640" max="5640" width="11.4" style="5" customWidth="1"/>
    <col min="5641" max="5641" width="8.1" style="5"/>
    <col min="5642" max="5642" width="10.3" style="5" customWidth="1"/>
    <col min="5643" max="5643" width="11.2" style="5" customWidth="1"/>
    <col min="5644" max="5648" width="8.1" style="5"/>
    <col min="5649" max="5649" width="10.8" style="5" customWidth="1"/>
    <col min="5650" max="5888" width="8.1" style="5"/>
    <col min="5889" max="5889" width="3.8" style="5" customWidth="1"/>
    <col min="5890" max="5890" width="6.4" style="5" customWidth="1"/>
    <col min="5891" max="5891" width="12.7" style="5" customWidth="1"/>
    <col min="5892" max="5892" width="14.6" style="5" customWidth="1"/>
    <col min="5893" max="5893" width="8.1" style="5"/>
    <col min="5894" max="5894" width="14.8" style="5" customWidth="1"/>
    <col min="5895" max="5895" width="8.1" style="5"/>
    <col min="5896" max="5896" width="11.4" style="5" customWidth="1"/>
    <col min="5897" max="5897" width="8.1" style="5"/>
    <col min="5898" max="5898" width="10.3" style="5" customWidth="1"/>
    <col min="5899" max="5899" width="11.2" style="5" customWidth="1"/>
    <col min="5900" max="5904" width="8.1" style="5"/>
    <col min="5905" max="5905" width="10.8" style="5" customWidth="1"/>
    <col min="5906" max="6144" width="8.1" style="5"/>
    <col min="6145" max="6145" width="3.8" style="5" customWidth="1"/>
    <col min="6146" max="6146" width="6.4" style="5" customWidth="1"/>
    <col min="6147" max="6147" width="12.7" style="5" customWidth="1"/>
    <col min="6148" max="6148" width="14.6" style="5" customWidth="1"/>
    <col min="6149" max="6149" width="8.1" style="5"/>
    <col min="6150" max="6150" width="14.8" style="5" customWidth="1"/>
    <col min="6151" max="6151" width="8.1" style="5"/>
    <col min="6152" max="6152" width="11.4" style="5" customWidth="1"/>
    <col min="6153" max="6153" width="8.1" style="5"/>
    <col min="6154" max="6154" width="10.3" style="5" customWidth="1"/>
    <col min="6155" max="6155" width="11.2" style="5" customWidth="1"/>
    <col min="6156" max="6160" width="8.1" style="5"/>
    <col min="6161" max="6161" width="10.8" style="5" customWidth="1"/>
    <col min="6162" max="6400" width="8.1" style="5"/>
    <col min="6401" max="6401" width="3.8" style="5" customWidth="1"/>
    <col min="6402" max="6402" width="6.4" style="5" customWidth="1"/>
    <col min="6403" max="6403" width="12.7" style="5" customWidth="1"/>
    <col min="6404" max="6404" width="14.6" style="5" customWidth="1"/>
    <col min="6405" max="6405" width="8.1" style="5"/>
    <col min="6406" max="6406" width="14.8" style="5" customWidth="1"/>
    <col min="6407" max="6407" width="8.1" style="5"/>
    <col min="6408" max="6408" width="11.4" style="5" customWidth="1"/>
    <col min="6409" max="6409" width="8.1" style="5"/>
    <col min="6410" max="6410" width="10.3" style="5" customWidth="1"/>
    <col min="6411" max="6411" width="11.2" style="5" customWidth="1"/>
    <col min="6412" max="6416" width="8.1" style="5"/>
    <col min="6417" max="6417" width="10.8" style="5" customWidth="1"/>
    <col min="6418" max="6656" width="8.1" style="5"/>
    <col min="6657" max="6657" width="3.8" style="5" customWidth="1"/>
    <col min="6658" max="6658" width="6.4" style="5" customWidth="1"/>
    <col min="6659" max="6659" width="12.7" style="5" customWidth="1"/>
    <col min="6660" max="6660" width="14.6" style="5" customWidth="1"/>
    <col min="6661" max="6661" width="8.1" style="5"/>
    <col min="6662" max="6662" width="14.8" style="5" customWidth="1"/>
    <col min="6663" max="6663" width="8.1" style="5"/>
    <col min="6664" max="6664" width="11.4" style="5" customWidth="1"/>
    <col min="6665" max="6665" width="8.1" style="5"/>
    <col min="6666" max="6666" width="10.3" style="5" customWidth="1"/>
    <col min="6667" max="6667" width="11.2" style="5" customWidth="1"/>
    <col min="6668" max="6672" width="8.1" style="5"/>
    <col min="6673" max="6673" width="10.8" style="5" customWidth="1"/>
    <col min="6674" max="6912" width="8.1" style="5"/>
    <col min="6913" max="6913" width="3.8" style="5" customWidth="1"/>
    <col min="6914" max="6914" width="6.4" style="5" customWidth="1"/>
    <col min="6915" max="6915" width="12.7" style="5" customWidth="1"/>
    <col min="6916" max="6916" width="14.6" style="5" customWidth="1"/>
    <col min="6917" max="6917" width="8.1" style="5"/>
    <col min="6918" max="6918" width="14.8" style="5" customWidth="1"/>
    <col min="6919" max="6919" width="8.1" style="5"/>
    <col min="6920" max="6920" width="11.4" style="5" customWidth="1"/>
    <col min="6921" max="6921" width="8.1" style="5"/>
    <col min="6922" max="6922" width="10.3" style="5" customWidth="1"/>
    <col min="6923" max="6923" width="11.2" style="5" customWidth="1"/>
    <col min="6924" max="6928" width="8.1" style="5"/>
    <col min="6929" max="6929" width="10.8" style="5" customWidth="1"/>
    <col min="6930" max="7168" width="8.1" style="5"/>
    <col min="7169" max="7169" width="3.8" style="5" customWidth="1"/>
    <col min="7170" max="7170" width="6.4" style="5" customWidth="1"/>
    <col min="7171" max="7171" width="12.7" style="5" customWidth="1"/>
    <col min="7172" max="7172" width="14.6" style="5" customWidth="1"/>
    <col min="7173" max="7173" width="8.1" style="5"/>
    <col min="7174" max="7174" width="14.8" style="5" customWidth="1"/>
    <col min="7175" max="7175" width="8.1" style="5"/>
    <col min="7176" max="7176" width="11.4" style="5" customWidth="1"/>
    <col min="7177" max="7177" width="8.1" style="5"/>
    <col min="7178" max="7178" width="10.3" style="5" customWidth="1"/>
    <col min="7179" max="7179" width="11.2" style="5" customWidth="1"/>
    <col min="7180" max="7184" width="8.1" style="5"/>
    <col min="7185" max="7185" width="10.8" style="5" customWidth="1"/>
    <col min="7186" max="7424" width="8.1" style="5"/>
    <col min="7425" max="7425" width="3.8" style="5" customWidth="1"/>
    <col min="7426" max="7426" width="6.4" style="5" customWidth="1"/>
    <col min="7427" max="7427" width="12.7" style="5" customWidth="1"/>
    <col min="7428" max="7428" width="14.6" style="5" customWidth="1"/>
    <col min="7429" max="7429" width="8.1" style="5"/>
    <col min="7430" max="7430" width="14.8" style="5" customWidth="1"/>
    <col min="7431" max="7431" width="8.1" style="5"/>
    <col min="7432" max="7432" width="11.4" style="5" customWidth="1"/>
    <col min="7433" max="7433" width="8.1" style="5"/>
    <col min="7434" max="7434" width="10.3" style="5" customWidth="1"/>
    <col min="7435" max="7435" width="11.2" style="5" customWidth="1"/>
    <col min="7436" max="7440" width="8.1" style="5"/>
    <col min="7441" max="7441" width="10.8" style="5" customWidth="1"/>
    <col min="7442" max="7680" width="8.1" style="5"/>
    <col min="7681" max="7681" width="3.8" style="5" customWidth="1"/>
    <col min="7682" max="7682" width="6.4" style="5" customWidth="1"/>
    <col min="7683" max="7683" width="12.7" style="5" customWidth="1"/>
    <col min="7684" max="7684" width="14.6" style="5" customWidth="1"/>
    <col min="7685" max="7685" width="8.1" style="5"/>
    <col min="7686" max="7686" width="14.8" style="5" customWidth="1"/>
    <col min="7687" max="7687" width="8.1" style="5"/>
    <col min="7688" max="7688" width="11.4" style="5" customWidth="1"/>
    <col min="7689" max="7689" width="8.1" style="5"/>
    <col min="7690" max="7690" width="10.3" style="5" customWidth="1"/>
    <col min="7691" max="7691" width="11.2" style="5" customWidth="1"/>
    <col min="7692" max="7696" width="8.1" style="5"/>
    <col min="7697" max="7697" width="10.8" style="5" customWidth="1"/>
    <col min="7698" max="7936" width="8.1" style="5"/>
    <col min="7937" max="7937" width="3.8" style="5" customWidth="1"/>
    <col min="7938" max="7938" width="6.4" style="5" customWidth="1"/>
    <col min="7939" max="7939" width="12.7" style="5" customWidth="1"/>
    <col min="7940" max="7940" width="14.6" style="5" customWidth="1"/>
    <col min="7941" max="7941" width="8.1" style="5"/>
    <col min="7942" max="7942" width="14.8" style="5" customWidth="1"/>
    <col min="7943" max="7943" width="8.1" style="5"/>
    <col min="7944" max="7944" width="11.4" style="5" customWidth="1"/>
    <col min="7945" max="7945" width="8.1" style="5"/>
    <col min="7946" max="7946" width="10.3" style="5" customWidth="1"/>
    <col min="7947" max="7947" width="11.2" style="5" customWidth="1"/>
    <col min="7948" max="7952" width="8.1" style="5"/>
    <col min="7953" max="7953" width="10.8" style="5" customWidth="1"/>
    <col min="7954" max="8192" width="8.1" style="5"/>
    <col min="8193" max="8193" width="3.8" style="5" customWidth="1"/>
    <col min="8194" max="8194" width="6.4" style="5" customWidth="1"/>
    <col min="8195" max="8195" width="12.7" style="5" customWidth="1"/>
    <col min="8196" max="8196" width="14.6" style="5" customWidth="1"/>
    <col min="8197" max="8197" width="8.1" style="5"/>
    <col min="8198" max="8198" width="14.8" style="5" customWidth="1"/>
    <col min="8199" max="8199" width="8.1" style="5"/>
    <col min="8200" max="8200" width="11.4" style="5" customWidth="1"/>
    <col min="8201" max="8201" width="8.1" style="5"/>
    <col min="8202" max="8202" width="10.3" style="5" customWidth="1"/>
    <col min="8203" max="8203" width="11.2" style="5" customWidth="1"/>
    <col min="8204" max="8208" width="8.1" style="5"/>
    <col min="8209" max="8209" width="10.8" style="5" customWidth="1"/>
    <col min="8210" max="8448" width="8.1" style="5"/>
    <col min="8449" max="8449" width="3.8" style="5" customWidth="1"/>
    <col min="8450" max="8450" width="6.4" style="5" customWidth="1"/>
    <col min="8451" max="8451" width="12.7" style="5" customWidth="1"/>
    <col min="8452" max="8452" width="14.6" style="5" customWidth="1"/>
    <col min="8453" max="8453" width="8.1" style="5"/>
    <col min="8454" max="8454" width="14.8" style="5" customWidth="1"/>
    <col min="8455" max="8455" width="8.1" style="5"/>
    <col min="8456" max="8456" width="11.4" style="5" customWidth="1"/>
    <col min="8457" max="8457" width="8.1" style="5"/>
    <col min="8458" max="8458" width="10.3" style="5" customWidth="1"/>
    <col min="8459" max="8459" width="11.2" style="5" customWidth="1"/>
    <col min="8460" max="8464" width="8.1" style="5"/>
    <col min="8465" max="8465" width="10.8" style="5" customWidth="1"/>
    <col min="8466" max="8704" width="8.1" style="5"/>
    <col min="8705" max="8705" width="3.8" style="5" customWidth="1"/>
    <col min="8706" max="8706" width="6.4" style="5" customWidth="1"/>
    <col min="8707" max="8707" width="12.7" style="5" customWidth="1"/>
    <col min="8708" max="8708" width="14.6" style="5" customWidth="1"/>
    <col min="8709" max="8709" width="8.1" style="5"/>
    <col min="8710" max="8710" width="14.8" style="5" customWidth="1"/>
    <col min="8711" max="8711" width="8.1" style="5"/>
    <col min="8712" max="8712" width="11.4" style="5" customWidth="1"/>
    <col min="8713" max="8713" width="8.1" style="5"/>
    <col min="8714" max="8714" width="10.3" style="5" customWidth="1"/>
    <col min="8715" max="8715" width="11.2" style="5" customWidth="1"/>
    <col min="8716" max="8720" width="8.1" style="5"/>
    <col min="8721" max="8721" width="10.8" style="5" customWidth="1"/>
    <col min="8722" max="8960" width="8.1" style="5"/>
    <col min="8961" max="8961" width="3.8" style="5" customWidth="1"/>
    <col min="8962" max="8962" width="6.4" style="5" customWidth="1"/>
    <col min="8963" max="8963" width="12.7" style="5" customWidth="1"/>
    <col min="8964" max="8964" width="14.6" style="5" customWidth="1"/>
    <col min="8965" max="8965" width="8.1" style="5"/>
    <col min="8966" max="8966" width="14.8" style="5" customWidth="1"/>
    <col min="8967" max="8967" width="8.1" style="5"/>
    <col min="8968" max="8968" width="11.4" style="5" customWidth="1"/>
    <col min="8969" max="8969" width="8.1" style="5"/>
    <col min="8970" max="8970" width="10.3" style="5" customWidth="1"/>
    <col min="8971" max="8971" width="11.2" style="5" customWidth="1"/>
    <col min="8972" max="8976" width="8.1" style="5"/>
    <col min="8977" max="8977" width="10.8" style="5" customWidth="1"/>
    <col min="8978" max="9216" width="8.1" style="5"/>
    <col min="9217" max="9217" width="3.8" style="5" customWidth="1"/>
    <col min="9218" max="9218" width="6.4" style="5" customWidth="1"/>
    <col min="9219" max="9219" width="12.7" style="5" customWidth="1"/>
    <col min="9220" max="9220" width="14.6" style="5" customWidth="1"/>
    <col min="9221" max="9221" width="8.1" style="5"/>
    <col min="9222" max="9222" width="14.8" style="5" customWidth="1"/>
    <col min="9223" max="9223" width="8.1" style="5"/>
    <col min="9224" max="9224" width="11.4" style="5" customWidth="1"/>
    <col min="9225" max="9225" width="8.1" style="5"/>
    <col min="9226" max="9226" width="10.3" style="5" customWidth="1"/>
    <col min="9227" max="9227" width="11.2" style="5" customWidth="1"/>
    <col min="9228" max="9232" width="8.1" style="5"/>
    <col min="9233" max="9233" width="10.8" style="5" customWidth="1"/>
    <col min="9234" max="9472" width="8.1" style="5"/>
    <col min="9473" max="9473" width="3.8" style="5" customWidth="1"/>
    <col min="9474" max="9474" width="6.4" style="5" customWidth="1"/>
    <col min="9475" max="9475" width="12.7" style="5" customWidth="1"/>
    <col min="9476" max="9476" width="14.6" style="5" customWidth="1"/>
    <col min="9477" max="9477" width="8.1" style="5"/>
    <col min="9478" max="9478" width="14.8" style="5" customWidth="1"/>
    <col min="9479" max="9479" width="8.1" style="5"/>
    <col min="9480" max="9480" width="11.4" style="5" customWidth="1"/>
    <col min="9481" max="9481" width="8.1" style="5"/>
    <col min="9482" max="9482" width="10.3" style="5" customWidth="1"/>
    <col min="9483" max="9483" width="11.2" style="5" customWidth="1"/>
    <col min="9484" max="9488" width="8.1" style="5"/>
    <col min="9489" max="9489" width="10.8" style="5" customWidth="1"/>
    <col min="9490" max="9728" width="8.1" style="5"/>
    <col min="9729" max="9729" width="3.8" style="5" customWidth="1"/>
    <col min="9730" max="9730" width="6.4" style="5" customWidth="1"/>
    <col min="9731" max="9731" width="12.7" style="5" customWidth="1"/>
    <col min="9732" max="9732" width="14.6" style="5" customWidth="1"/>
    <col min="9733" max="9733" width="8.1" style="5"/>
    <col min="9734" max="9734" width="14.8" style="5" customWidth="1"/>
    <col min="9735" max="9735" width="8.1" style="5"/>
    <col min="9736" max="9736" width="11.4" style="5" customWidth="1"/>
    <col min="9737" max="9737" width="8.1" style="5"/>
    <col min="9738" max="9738" width="10.3" style="5" customWidth="1"/>
    <col min="9739" max="9739" width="11.2" style="5" customWidth="1"/>
    <col min="9740" max="9744" width="8.1" style="5"/>
    <col min="9745" max="9745" width="10.8" style="5" customWidth="1"/>
    <col min="9746" max="9984" width="8.1" style="5"/>
    <col min="9985" max="9985" width="3.8" style="5" customWidth="1"/>
    <col min="9986" max="9986" width="6.4" style="5" customWidth="1"/>
    <col min="9987" max="9987" width="12.7" style="5" customWidth="1"/>
    <col min="9988" max="9988" width="14.6" style="5" customWidth="1"/>
    <col min="9989" max="9989" width="8.1" style="5"/>
    <col min="9990" max="9990" width="14.8" style="5" customWidth="1"/>
    <col min="9991" max="9991" width="8.1" style="5"/>
    <col min="9992" max="9992" width="11.4" style="5" customWidth="1"/>
    <col min="9993" max="9993" width="8.1" style="5"/>
    <col min="9994" max="9994" width="10.3" style="5" customWidth="1"/>
    <col min="9995" max="9995" width="11.2" style="5" customWidth="1"/>
    <col min="9996" max="10000" width="8.1" style="5"/>
    <col min="10001" max="10001" width="10.8" style="5" customWidth="1"/>
    <col min="10002" max="10240" width="8.1" style="5"/>
    <col min="10241" max="10241" width="3.8" style="5" customWidth="1"/>
    <col min="10242" max="10242" width="6.4" style="5" customWidth="1"/>
    <col min="10243" max="10243" width="12.7" style="5" customWidth="1"/>
    <col min="10244" max="10244" width="14.6" style="5" customWidth="1"/>
    <col min="10245" max="10245" width="8.1" style="5"/>
    <col min="10246" max="10246" width="14.8" style="5" customWidth="1"/>
    <col min="10247" max="10247" width="8.1" style="5"/>
    <col min="10248" max="10248" width="11.4" style="5" customWidth="1"/>
    <col min="10249" max="10249" width="8.1" style="5"/>
    <col min="10250" max="10250" width="10.3" style="5" customWidth="1"/>
    <col min="10251" max="10251" width="11.2" style="5" customWidth="1"/>
    <col min="10252" max="10256" width="8.1" style="5"/>
    <col min="10257" max="10257" width="10.8" style="5" customWidth="1"/>
    <col min="10258" max="10496" width="8.1" style="5"/>
    <col min="10497" max="10497" width="3.8" style="5" customWidth="1"/>
    <col min="10498" max="10498" width="6.4" style="5" customWidth="1"/>
    <col min="10499" max="10499" width="12.7" style="5" customWidth="1"/>
    <col min="10500" max="10500" width="14.6" style="5" customWidth="1"/>
    <col min="10501" max="10501" width="8.1" style="5"/>
    <col min="10502" max="10502" width="14.8" style="5" customWidth="1"/>
    <col min="10503" max="10503" width="8.1" style="5"/>
    <col min="10504" max="10504" width="11.4" style="5" customWidth="1"/>
    <col min="10505" max="10505" width="8.1" style="5"/>
    <col min="10506" max="10506" width="10.3" style="5" customWidth="1"/>
    <col min="10507" max="10507" width="11.2" style="5" customWidth="1"/>
    <col min="10508" max="10512" width="8.1" style="5"/>
    <col min="10513" max="10513" width="10.8" style="5" customWidth="1"/>
    <col min="10514" max="10752" width="8.1" style="5"/>
    <col min="10753" max="10753" width="3.8" style="5" customWidth="1"/>
    <col min="10754" max="10754" width="6.4" style="5" customWidth="1"/>
    <col min="10755" max="10755" width="12.7" style="5" customWidth="1"/>
    <col min="10756" max="10756" width="14.6" style="5" customWidth="1"/>
    <col min="10757" max="10757" width="8.1" style="5"/>
    <col min="10758" max="10758" width="14.8" style="5" customWidth="1"/>
    <col min="10759" max="10759" width="8.1" style="5"/>
    <col min="10760" max="10760" width="11.4" style="5" customWidth="1"/>
    <col min="10761" max="10761" width="8.1" style="5"/>
    <col min="10762" max="10762" width="10.3" style="5" customWidth="1"/>
    <col min="10763" max="10763" width="11.2" style="5" customWidth="1"/>
    <col min="10764" max="10768" width="8.1" style="5"/>
    <col min="10769" max="10769" width="10.8" style="5" customWidth="1"/>
    <col min="10770" max="11008" width="8.1" style="5"/>
    <col min="11009" max="11009" width="3.8" style="5" customWidth="1"/>
    <col min="11010" max="11010" width="6.4" style="5" customWidth="1"/>
    <col min="11011" max="11011" width="12.7" style="5" customWidth="1"/>
    <col min="11012" max="11012" width="14.6" style="5" customWidth="1"/>
    <col min="11013" max="11013" width="8.1" style="5"/>
    <col min="11014" max="11014" width="14.8" style="5" customWidth="1"/>
    <col min="11015" max="11015" width="8.1" style="5"/>
    <col min="11016" max="11016" width="11.4" style="5" customWidth="1"/>
    <col min="11017" max="11017" width="8.1" style="5"/>
    <col min="11018" max="11018" width="10.3" style="5" customWidth="1"/>
    <col min="11019" max="11019" width="11.2" style="5" customWidth="1"/>
    <col min="11020" max="11024" width="8.1" style="5"/>
    <col min="11025" max="11025" width="10.8" style="5" customWidth="1"/>
    <col min="11026" max="11264" width="8.1" style="5"/>
    <col min="11265" max="11265" width="3.8" style="5" customWidth="1"/>
    <col min="11266" max="11266" width="6.4" style="5" customWidth="1"/>
    <col min="11267" max="11267" width="12.7" style="5" customWidth="1"/>
    <col min="11268" max="11268" width="14.6" style="5" customWidth="1"/>
    <col min="11269" max="11269" width="8.1" style="5"/>
    <col min="11270" max="11270" width="14.8" style="5" customWidth="1"/>
    <col min="11271" max="11271" width="8.1" style="5"/>
    <col min="11272" max="11272" width="11.4" style="5" customWidth="1"/>
    <col min="11273" max="11273" width="8.1" style="5"/>
    <col min="11274" max="11274" width="10.3" style="5" customWidth="1"/>
    <col min="11275" max="11275" width="11.2" style="5" customWidth="1"/>
    <col min="11276" max="11280" width="8.1" style="5"/>
    <col min="11281" max="11281" width="10.8" style="5" customWidth="1"/>
    <col min="11282" max="11520" width="8.1" style="5"/>
    <col min="11521" max="11521" width="3.8" style="5" customWidth="1"/>
    <col min="11522" max="11522" width="6.4" style="5" customWidth="1"/>
    <col min="11523" max="11523" width="12.7" style="5" customWidth="1"/>
    <col min="11524" max="11524" width="14.6" style="5" customWidth="1"/>
    <col min="11525" max="11525" width="8.1" style="5"/>
    <col min="11526" max="11526" width="14.8" style="5" customWidth="1"/>
    <col min="11527" max="11527" width="8.1" style="5"/>
    <col min="11528" max="11528" width="11.4" style="5" customWidth="1"/>
    <col min="11529" max="11529" width="8.1" style="5"/>
    <col min="11530" max="11530" width="10.3" style="5" customWidth="1"/>
    <col min="11531" max="11531" width="11.2" style="5" customWidth="1"/>
    <col min="11532" max="11536" width="8.1" style="5"/>
    <col min="11537" max="11537" width="10.8" style="5" customWidth="1"/>
    <col min="11538" max="11776" width="8.1" style="5"/>
    <col min="11777" max="11777" width="3.8" style="5" customWidth="1"/>
    <col min="11778" max="11778" width="6.4" style="5" customWidth="1"/>
    <col min="11779" max="11779" width="12.7" style="5" customWidth="1"/>
    <col min="11780" max="11780" width="14.6" style="5" customWidth="1"/>
    <col min="11781" max="11781" width="8.1" style="5"/>
    <col min="11782" max="11782" width="14.8" style="5" customWidth="1"/>
    <col min="11783" max="11783" width="8.1" style="5"/>
    <col min="11784" max="11784" width="11.4" style="5" customWidth="1"/>
    <col min="11785" max="11785" width="8.1" style="5"/>
    <col min="11786" max="11786" width="10.3" style="5" customWidth="1"/>
    <col min="11787" max="11787" width="11.2" style="5" customWidth="1"/>
    <col min="11788" max="11792" width="8.1" style="5"/>
    <col min="11793" max="11793" width="10.8" style="5" customWidth="1"/>
    <col min="11794" max="12032" width="8.1" style="5"/>
    <col min="12033" max="12033" width="3.8" style="5" customWidth="1"/>
    <col min="12034" max="12034" width="6.4" style="5" customWidth="1"/>
    <col min="12035" max="12035" width="12.7" style="5" customWidth="1"/>
    <col min="12036" max="12036" width="14.6" style="5" customWidth="1"/>
    <col min="12037" max="12037" width="8.1" style="5"/>
    <col min="12038" max="12038" width="14.8" style="5" customWidth="1"/>
    <col min="12039" max="12039" width="8.1" style="5"/>
    <col min="12040" max="12040" width="11.4" style="5" customWidth="1"/>
    <col min="12041" max="12041" width="8.1" style="5"/>
    <col min="12042" max="12042" width="10.3" style="5" customWidth="1"/>
    <col min="12043" max="12043" width="11.2" style="5" customWidth="1"/>
    <col min="12044" max="12048" width="8.1" style="5"/>
    <col min="12049" max="12049" width="10.8" style="5" customWidth="1"/>
    <col min="12050" max="12288" width="8.1" style="5"/>
    <col min="12289" max="12289" width="3.8" style="5" customWidth="1"/>
    <col min="12290" max="12290" width="6.4" style="5" customWidth="1"/>
    <col min="12291" max="12291" width="12.7" style="5" customWidth="1"/>
    <col min="12292" max="12292" width="14.6" style="5" customWidth="1"/>
    <col min="12293" max="12293" width="8.1" style="5"/>
    <col min="12294" max="12294" width="14.8" style="5" customWidth="1"/>
    <col min="12295" max="12295" width="8.1" style="5"/>
    <col min="12296" max="12296" width="11.4" style="5" customWidth="1"/>
    <col min="12297" max="12297" width="8.1" style="5"/>
    <col min="12298" max="12298" width="10.3" style="5" customWidth="1"/>
    <col min="12299" max="12299" width="11.2" style="5" customWidth="1"/>
    <col min="12300" max="12304" width="8.1" style="5"/>
    <col min="12305" max="12305" width="10.8" style="5" customWidth="1"/>
    <col min="12306" max="12544" width="8.1" style="5"/>
    <col min="12545" max="12545" width="3.8" style="5" customWidth="1"/>
    <col min="12546" max="12546" width="6.4" style="5" customWidth="1"/>
    <col min="12547" max="12547" width="12.7" style="5" customWidth="1"/>
    <col min="12548" max="12548" width="14.6" style="5" customWidth="1"/>
    <col min="12549" max="12549" width="8.1" style="5"/>
    <col min="12550" max="12550" width="14.8" style="5" customWidth="1"/>
    <col min="12551" max="12551" width="8.1" style="5"/>
    <col min="12552" max="12552" width="11.4" style="5" customWidth="1"/>
    <col min="12553" max="12553" width="8.1" style="5"/>
    <col min="12554" max="12554" width="10.3" style="5" customWidth="1"/>
    <col min="12555" max="12555" width="11.2" style="5" customWidth="1"/>
    <col min="12556" max="12560" width="8.1" style="5"/>
    <col min="12561" max="12561" width="10.8" style="5" customWidth="1"/>
    <col min="12562" max="12800" width="8.1" style="5"/>
    <col min="12801" max="12801" width="3.8" style="5" customWidth="1"/>
    <col min="12802" max="12802" width="6.4" style="5" customWidth="1"/>
    <col min="12803" max="12803" width="12.7" style="5" customWidth="1"/>
    <col min="12804" max="12804" width="14.6" style="5" customWidth="1"/>
    <col min="12805" max="12805" width="8.1" style="5"/>
    <col min="12806" max="12806" width="14.8" style="5" customWidth="1"/>
    <col min="12807" max="12807" width="8.1" style="5"/>
    <col min="12808" max="12808" width="11.4" style="5" customWidth="1"/>
    <col min="12809" max="12809" width="8.1" style="5"/>
    <col min="12810" max="12810" width="10.3" style="5" customWidth="1"/>
    <col min="12811" max="12811" width="11.2" style="5" customWidth="1"/>
    <col min="12812" max="12816" width="8.1" style="5"/>
    <col min="12817" max="12817" width="10.8" style="5" customWidth="1"/>
    <col min="12818" max="13056" width="8.1" style="5"/>
    <col min="13057" max="13057" width="3.8" style="5" customWidth="1"/>
    <col min="13058" max="13058" width="6.4" style="5" customWidth="1"/>
    <col min="13059" max="13059" width="12.7" style="5" customWidth="1"/>
    <col min="13060" max="13060" width="14.6" style="5" customWidth="1"/>
    <col min="13061" max="13061" width="8.1" style="5"/>
    <col min="13062" max="13062" width="14.8" style="5" customWidth="1"/>
    <col min="13063" max="13063" width="8.1" style="5"/>
    <col min="13064" max="13064" width="11.4" style="5" customWidth="1"/>
    <col min="13065" max="13065" width="8.1" style="5"/>
    <col min="13066" max="13066" width="10.3" style="5" customWidth="1"/>
    <col min="13067" max="13067" width="11.2" style="5" customWidth="1"/>
    <col min="13068" max="13072" width="8.1" style="5"/>
    <col min="13073" max="13073" width="10.8" style="5" customWidth="1"/>
    <col min="13074" max="13312" width="8.1" style="5"/>
    <col min="13313" max="13313" width="3.8" style="5" customWidth="1"/>
    <col min="13314" max="13314" width="6.4" style="5" customWidth="1"/>
    <col min="13315" max="13315" width="12.7" style="5" customWidth="1"/>
    <col min="13316" max="13316" width="14.6" style="5" customWidth="1"/>
    <col min="13317" max="13317" width="8.1" style="5"/>
    <col min="13318" max="13318" width="14.8" style="5" customWidth="1"/>
    <col min="13319" max="13319" width="8.1" style="5"/>
    <col min="13320" max="13320" width="11.4" style="5" customWidth="1"/>
    <col min="13321" max="13321" width="8.1" style="5"/>
    <col min="13322" max="13322" width="10.3" style="5" customWidth="1"/>
    <col min="13323" max="13323" width="11.2" style="5" customWidth="1"/>
    <col min="13324" max="13328" width="8.1" style="5"/>
    <col min="13329" max="13329" width="10.8" style="5" customWidth="1"/>
    <col min="13330" max="13568" width="8.1" style="5"/>
    <col min="13569" max="13569" width="3.8" style="5" customWidth="1"/>
    <col min="13570" max="13570" width="6.4" style="5" customWidth="1"/>
    <col min="13571" max="13571" width="12.7" style="5" customWidth="1"/>
    <col min="13572" max="13572" width="14.6" style="5" customWidth="1"/>
    <col min="13573" max="13573" width="8.1" style="5"/>
    <col min="13574" max="13574" width="14.8" style="5" customWidth="1"/>
    <col min="13575" max="13575" width="8.1" style="5"/>
    <col min="13576" max="13576" width="11.4" style="5" customWidth="1"/>
    <col min="13577" max="13577" width="8.1" style="5"/>
    <col min="13578" max="13578" width="10.3" style="5" customWidth="1"/>
    <col min="13579" max="13579" width="11.2" style="5" customWidth="1"/>
    <col min="13580" max="13584" width="8.1" style="5"/>
    <col min="13585" max="13585" width="10.8" style="5" customWidth="1"/>
    <col min="13586" max="13824" width="8.1" style="5"/>
    <col min="13825" max="13825" width="3.8" style="5" customWidth="1"/>
    <col min="13826" max="13826" width="6.4" style="5" customWidth="1"/>
    <col min="13827" max="13827" width="12.7" style="5" customWidth="1"/>
    <col min="13828" max="13828" width="14.6" style="5" customWidth="1"/>
    <col min="13829" max="13829" width="8.1" style="5"/>
    <col min="13830" max="13830" width="14.8" style="5" customWidth="1"/>
    <col min="13831" max="13831" width="8.1" style="5"/>
    <col min="13832" max="13832" width="11.4" style="5" customWidth="1"/>
    <col min="13833" max="13833" width="8.1" style="5"/>
    <col min="13834" max="13834" width="10.3" style="5" customWidth="1"/>
    <col min="13835" max="13835" width="11.2" style="5" customWidth="1"/>
    <col min="13836" max="13840" width="8.1" style="5"/>
    <col min="13841" max="13841" width="10.8" style="5" customWidth="1"/>
    <col min="13842" max="14080" width="8.1" style="5"/>
    <col min="14081" max="14081" width="3.8" style="5" customWidth="1"/>
    <col min="14082" max="14082" width="6.4" style="5" customWidth="1"/>
    <col min="14083" max="14083" width="12.7" style="5" customWidth="1"/>
    <col min="14084" max="14084" width="14.6" style="5" customWidth="1"/>
    <col min="14085" max="14085" width="8.1" style="5"/>
    <col min="14086" max="14086" width="14.8" style="5" customWidth="1"/>
    <col min="14087" max="14087" width="8.1" style="5"/>
    <col min="14088" max="14088" width="11.4" style="5" customWidth="1"/>
    <col min="14089" max="14089" width="8.1" style="5"/>
    <col min="14090" max="14090" width="10.3" style="5" customWidth="1"/>
    <col min="14091" max="14091" width="11.2" style="5" customWidth="1"/>
    <col min="14092" max="14096" width="8.1" style="5"/>
    <col min="14097" max="14097" width="10.8" style="5" customWidth="1"/>
    <col min="14098" max="14336" width="8.1" style="5"/>
    <col min="14337" max="14337" width="3.8" style="5" customWidth="1"/>
    <col min="14338" max="14338" width="6.4" style="5" customWidth="1"/>
    <col min="14339" max="14339" width="12.7" style="5" customWidth="1"/>
    <col min="14340" max="14340" width="14.6" style="5" customWidth="1"/>
    <col min="14341" max="14341" width="8.1" style="5"/>
    <col min="14342" max="14342" width="14.8" style="5" customWidth="1"/>
    <col min="14343" max="14343" width="8.1" style="5"/>
    <col min="14344" max="14344" width="11.4" style="5" customWidth="1"/>
    <col min="14345" max="14345" width="8.1" style="5"/>
    <col min="14346" max="14346" width="10.3" style="5" customWidth="1"/>
    <col min="14347" max="14347" width="11.2" style="5" customWidth="1"/>
    <col min="14348" max="14352" width="8.1" style="5"/>
    <col min="14353" max="14353" width="10.8" style="5" customWidth="1"/>
    <col min="14354" max="14592" width="8.1" style="5"/>
    <col min="14593" max="14593" width="3.8" style="5" customWidth="1"/>
    <col min="14594" max="14594" width="6.4" style="5" customWidth="1"/>
    <col min="14595" max="14595" width="12.7" style="5" customWidth="1"/>
    <col min="14596" max="14596" width="14.6" style="5" customWidth="1"/>
    <col min="14597" max="14597" width="8.1" style="5"/>
    <col min="14598" max="14598" width="14.8" style="5" customWidth="1"/>
    <col min="14599" max="14599" width="8.1" style="5"/>
    <col min="14600" max="14600" width="11.4" style="5" customWidth="1"/>
    <col min="14601" max="14601" width="8.1" style="5"/>
    <col min="14602" max="14602" width="10.3" style="5" customWidth="1"/>
    <col min="14603" max="14603" width="11.2" style="5" customWidth="1"/>
    <col min="14604" max="14608" width="8.1" style="5"/>
    <col min="14609" max="14609" width="10.8" style="5" customWidth="1"/>
    <col min="14610" max="14848" width="8.1" style="5"/>
    <col min="14849" max="14849" width="3.8" style="5" customWidth="1"/>
    <col min="14850" max="14850" width="6.4" style="5" customWidth="1"/>
    <col min="14851" max="14851" width="12.7" style="5" customWidth="1"/>
    <col min="14852" max="14852" width="14.6" style="5" customWidth="1"/>
    <col min="14853" max="14853" width="8.1" style="5"/>
    <col min="14854" max="14854" width="14.8" style="5" customWidth="1"/>
    <col min="14855" max="14855" width="8.1" style="5"/>
    <col min="14856" max="14856" width="11.4" style="5" customWidth="1"/>
    <col min="14857" max="14857" width="8.1" style="5"/>
    <col min="14858" max="14858" width="10.3" style="5" customWidth="1"/>
    <col min="14859" max="14859" width="11.2" style="5" customWidth="1"/>
    <col min="14860" max="14864" width="8.1" style="5"/>
    <col min="14865" max="14865" width="10.8" style="5" customWidth="1"/>
    <col min="14866" max="15104" width="8.1" style="5"/>
    <col min="15105" max="15105" width="3.8" style="5" customWidth="1"/>
    <col min="15106" max="15106" width="6.4" style="5" customWidth="1"/>
    <col min="15107" max="15107" width="12.7" style="5" customWidth="1"/>
    <col min="15108" max="15108" width="14.6" style="5" customWidth="1"/>
    <col min="15109" max="15109" width="8.1" style="5"/>
    <col min="15110" max="15110" width="14.8" style="5" customWidth="1"/>
    <col min="15111" max="15111" width="8.1" style="5"/>
    <col min="15112" max="15112" width="11.4" style="5" customWidth="1"/>
    <col min="15113" max="15113" width="8.1" style="5"/>
    <col min="15114" max="15114" width="10.3" style="5" customWidth="1"/>
    <col min="15115" max="15115" width="11.2" style="5" customWidth="1"/>
    <col min="15116" max="15120" width="8.1" style="5"/>
    <col min="15121" max="15121" width="10.8" style="5" customWidth="1"/>
    <col min="15122" max="15360" width="8.1" style="5"/>
    <col min="15361" max="15361" width="3.8" style="5" customWidth="1"/>
    <col min="15362" max="15362" width="6.4" style="5" customWidth="1"/>
    <col min="15363" max="15363" width="12.7" style="5" customWidth="1"/>
    <col min="15364" max="15364" width="14.6" style="5" customWidth="1"/>
    <col min="15365" max="15365" width="8.1" style="5"/>
    <col min="15366" max="15366" width="14.8" style="5" customWidth="1"/>
    <col min="15367" max="15367" width="8.1" style="5"/>
    <col min="15368" max="15368" width="11.4" style="5" customWidth="1"/>
    <col min="15369" max="15369" width="8.1" style="5"/>
    <col min="15370" max="15370" width="10.3" style="5" customWidth="1"/>
    <col min="15371" max="15371" width="11.2" style="5" customWidth="1"/>
    <col min="15372" max="15376" width="8.1" style="5"/>
    <col min="15377" max="15377" width="10.8" style="5" customWidth="1"/>
    <col min="15378" max="15616" width="8.1" style="5"/>
    <col min="15617" max="15617" width="3.8" style="5" customWidth="1"/>
    <col min="15618" max="15618" width="6.4" style="5" customWidth="1"/>
    <col min="15619" max="15619" width="12.7" style="5" customWidth="1"/>
    <col min="15620" max="15620" width="14.6" style="5" customWidth="1"/>
    <col min="15621" max="15621" width="8.1" style="5"/>
    <col min="15622" max="15622" width="14.8" style="5" customWidth="1"/>
    <col min="15623" max="15623" width="8.1" style="5"/>
    <col min="15624" max="15624" width="11.4" style="5" customWidth="1"/>
    <col min="15625" max="15625" width="8.1" style="5"/>
    <col min="15626" max="15626" width="10.3" style="5" customWidth="1"/>
    <col min="15627" max="15627" width="11.2" style="5" customWidth="1"/>
    <col min="15628" max="15632" width="8.1" style="5"/>
    <col min="15633" max="15633" width="10.8" style="5" customWidth="1"/>
    <col min="15634" max="15872" width="8.1" style="5"/>
    <col min="15873" max="15873" width="3.8" style="5" customWidth="1"/>
    <col min="15874" max="15874" width="6.4" style="5" customWidth="1"/>
    <col min="15875" max="15875" width="12.7" style="5" customWidth="1"/>
    <col min="15876" max="15876" width="14.6" style="5" customWidth="1"/>
    <col min="15877" max="15877" width="8.1" style="5"/>
    <col min="15878" max="15878" width="14.8" style="5" customWidth="1"/>
    <col min="15879" max="15879" width="8.1" style="5"/>
    <col min="15880" max="15880" width="11.4" style="5" customWidth="1"/>
    <col min="15881" max="15881" width="8.1" style="5"/>
    <col min="15882" max="15882" width="10.3" style="5" customWidth="1"/>
    <col min="15883" max="15883" width="11.2" style="5" customWidth="1"/>
    <col min="15884" max="15888" width="8.1" style="5"/>
    <col min="15889" max="15889" width="10.8" style="5" customWidth="1"/>
    <col min="15890" max="16128" width="8.1" style="5"/>
    <col min="16129" max="16129" width="3.8" style="5" customWidth="1"/>
    <col min="16130" max="16130" width="6.4" style="5" customWidth="1"/>
    <col min="16131" max="16131" width="12.7" style="5" customWidth="1"/>
    <col min="16132" max="16132" width="14.6" style="5" customWidth="1"/>
    <col min="16133" max="16133" width="8.1" style="5"/>
    <col min="16134" max="16134" width="14.8" style="5" customWidth="1"/>
    <col min="16135" max="16135" width="8.1" style="5"/>
    <col min="16136" max="16136" width="11.4" style="5" customWidth="1"/>
    <col min="16137" max="16137" width="8.1" style="5"/>
    <col min="16138" max="16138" width="10.3" style="5" customWidth="1"/>
    <col min="16139" max="16139" width="11.2" style="5" customWidth="1"/>
    <col min="16140" max="16144" width="8.1" style="5"/>
    <col min="16145" max="16145" width="10.8" style="5" customWidth="1"/>
    <col min="16146" max="16384" width="8.1" style="5"/>
  </cols>
  <sheetData>
    <row r="1" s="1" customFormat="1" ht="28.5" customHeight="1" spans="2:19">
      <c r="B1" s="6" t="s">
        <v>718</v>
      </c>
      <c r="C1" s="7"/>
      <c r="D1" s="7"/>
      <c r="E1" s="7"/>
      <c r="F1" s="7"/>
      <c r="G1" s="7"/>
      <c r="H1" s="7"/>
      <c r="I1" s="7"/>
      <c r="J1" s="32" t="s">
        <v>719</v>
      </c>
      <c r="K1" s="33" t="s">
        <v>720</v>
      </c>
      <c r="L1" s="7"/>
      <c r="M1" s="34"/>
      <c r="N1" s="7"/>
      <c r="O1" s="7"/>
      <c r="P1" s="7"/>
      <c r="Q1" s="7"/>
      <c r="S1" s="42"/>
    </row>
    <row r="2" s="2" customFormat="1" ht="25.95" customHeight="1" spans="2:17">
      <c r="B2" s="8" t="s">
        <v>721</v>
      </c>
      <c r="G2" s="9"/>
      <c r="I2" s="34"/>
      <c r="J2" s="32"/>
      <c r="L2" s="9"/>
      <c r="M2" s="9"/>
      <c r="Q2" s="43"/>
    </row>
    <row r="3" ht="12" customHeight="1"/>
    <row r="4" s="3" customFormat="1" customHeight="1" spans="2:11">
      <c r="B4" s="986" t="s">
        <v>79</v>
      </c>
      <c r="C4" s="987" t="s">
        <v>237</v>
      </c>
      <c r="D4" s="12"/>
      <c r="E4" s="12"/>
      <c r="F4" s="12"/>
      <c r="G4" s="12"/>
      <c r="H4" s="12"/>
      <c r="I4" s="12"/>
      <c r="J4" s="12"/>
      <c r="K4" s="35"/>
    </row>
    <row r="5" s="3" customFormat="1" ht="14.25" customHeight="1" spans="1:11">
      <c r="A5" s="13"/>
      <c r="B5" s="14">
        <v>1</v>
      </c>
      <c r="C5" s="15"/>
      <c r="D5" s="16"/>
      <c r="E5" s="16"/>
      <c r="F5" s="16"/>
      <c r="G5" s="16"/>
      <c r="H5" s="16"/>
      <c r="I5" s="16"/>
      <c r="J5" s="16"/>
      <c r="K5" s="36"/>
    </row>
    <row r="6" s="3" customFormat="1" ht="14.25" customHeight="1" spans="1:11">
      <c r="A6" s="13"/>
      <c r="B6" s="14">
        <v>2</v>
      </c>
      <c r="C6" s="15"/>
      <c r="D6" s="16"/>
      <c r="E6" s="16"/>
      <c r="F6" s="16"/>
      <c r="G6" s="16"/>
      <c r="H6" s="16"/>
      <c r="I6" s="16"/>
      <c r="J6" s="16"/>
      <c r="K6" s="36"/>
    </row>
    <row r="7" s="3" customFormat="1" ht="14.25" customHeight="1" spans="1:11">
      <c r="A7" s="13"/>
      <c r="B7" s="14">
        <v>3</v>
      </c>
      <c r="C7" s="15"/>
      <c r="D7" s="16"/>
      <c r="E7" s="16"/>
      <c r="F7" s="16"/>
      <c r="G7" s="16"/>
      <c r="H7" s="16"/>
      <c r="I7" s="16"/>
      <c r="J7" s="16"/>
      <c r="K7" s="36"/>
    </row>
    <row r="8" s="3" customFormat="1" ht="14.25" customHeight="1" spans="1:11">
      <c r="A8" s="13"/>
      <c r="B8" s="14">
        <v>4</v>
      </c>
      <c r="C8" s="15"/>
      <c r="D8" s="16"/>
      <c r="E8" s="16"/>
      <c r="F8" s="16"/>
      <c r="G8" s="16"/>
      <c r="H8" s="16"/>
      <c r="I8" s="16"/>
      <c r="J8" s="16"/>
      <c r="K8" s="36"/>
    </row>
    <row r="9" s="3" customFormat="1" ht="14.25" customHeight="1" spans="2:11">
      <c r="B9" s="17">
        <v>5</v>
      </c>
      <c r="C9" s="18"/>
      <c r="D9" s="19"/>
      <c r="E9" s="19"/>
      <c r="F9" s="19"/>
      <c r="G9" s="19"/>
      <c r="H9" s="19"/>
      <c r="I9" s="19"/>
      <c r="J9" s="19"/>
      <c r="K9" s="37"/>
    </row>
    <row r="10" s="3" customFormat="1" ht="13.5" customHeight="1" spans="4:8">
      <c r="D10" s="20"/>
      <c r="F10" s="20"/>
      <c r="H10" s="20"/>
    </row>
    <row r="11" s="4" customFormat="1" ht="16.25" spans="2:17">
      <c r="B11" s="21" t="s">
        <v>198</v>
      </c>
      <c r="C11" s="22"/>
      <c r="D11" s="22"/>
      <c r="E11" s="22"/>
      <c r="F11" s="22"/>
      <c r="G11" s="22"/>
      <c r="H11" s="23"/>
      <c r="I11" s="23"/>
      <c r="J11" s="23"/>
      <c r="K11" s="23"/>
      <c r="L11" s="23"/>
      <c r="M11" s="23"/>
      <c r="N11" s="23"/>
      <c r="O11" s="23"/>
      <c r="P11" s="23"/>
      <c r="Q11" s="44"/>
    </row>
    <row r="12" s="4" customFormat="1" ht="15.5" spans="2:17">
      <c r="B12" s="24"/>
      <c r="C12" s="25"/>
      <c r="D12" s="25"/>
      <c r="E12" s="25"/>
      <c r="F12" s="25"/>
      <c r="G12" s="25"/>
      <c r="H12" s="26"/>
      <c r="I12" s="26"/>
      <c r="J12" s="26"/>
      <c r="K12" s="38"/>
      <c r="L12" s="23"/>
      <c r="M12" s="23"/>
      <c r="N12" s="23"/>
      <c r="O12" s="23"/>
      <c r="P12" s="23"/>
      <c r="Q12" s="44"/>
    </row>
    <row r="13" s="4" customFormat="1" ht="15.5" spans="2:17">
      <c r="B13" s="27"/>
      <c r="C13" s="22"/>
      <c r="D13" s="22"/>
      <c r="E13" s="22"/>
      <c r="F13" s="22"/>
      <c r="G13" s="22"/>
      <c r="H13" s="23"/>
      <c r="I13" s="23"/>
      <c r="J13" s="23"/>
      <c r="K13" s="39"/>
      <c r="L13" s="23"/>
      <c r="M13" s="23"/>
      <c r="N13" s="23"/>
      <c r="O13" s="23"/>
      <c r="P13" s="23"/>
      <c r="Q13" s="44"/>
    </row>
    <row r="14" s="4" customFormat="1" ht="15.5" spans="2:17">
      <c r="B14" s="27"/>
      <c r="C14" s="22"/>
      <c r="D14" s="22"/>
      <c r="E14" s="22"/>
      <c r="F14" s="22"/>
      <c r="G14" s="22"/>
      <c r="H14" s="23"/>
      <c r="I14" s="23"/>
      <c r="J14" s="23"/>
      <c r="K14" s="39"/>
      <c r="L14" s="23"/>
      <c r="M14" s="23"/>
      <c r="N14" s="23"/>
      <c r="O14" s="23"/>
      <c r="P14" s="23"/>
      <c r="Q14" s="44"/>
    </row>
    <row r="15" s="4" customFormat="1" ht="15.5" spans="1:17">
      <c r="A15" s="28"/>
      <c r="B15" s="29"/>
      <c r="C15" s="28"/>
      <c r="D15" s="28"/>
      <c r="E15" s="28"/>
      <c r="F15" s="28"/>
      <c r="G15" s="28"/>
      <c r="H15" s="28"/>
      <c r="I15" s="28"/>
      <c r="J15" s="28"/>
      <c r="K15" s="40"/>
      <c r="L15" s="28"/>
      <c r="M15" s="28"/>
      <c r="N15" s="28"/>
      <c r="O15" s="28"/>
      <c r="P15" s="28"/>
      <c r="Q15" s="28"/>
    </row>
    <row r="16" s="4" customFormat="1" ht="15.5" spans="1:17">
      <c r="A16" s="28"/>
      <c r="B16" s="29"/>
      <c r="C16" s="28"/>
      <c r="D16" s="28"/>
      <c r="E16" s="28"/>
      <c r="F16" s="28"/>
      <c r="G16" s="28"/>
      <c r="H16" s="28"/>
      <c r="I16" s="28"/>
      <c r="J16" s="28"/>
      <c r="K16" s="40"/>
      <c r="L16" s="28"/>
      <c r="M16" s="28"/>
      <c r="N16" s="28"/>
      <c r="O16" s="28"/>
      <c r="P16" s="28"/>
      <c r="Q16" s="28"/>
    </row>
    <row r="17" s="4" customFormat="1" ht="16.25" spans="1:11">
      <c r="A17" s="21"/>
      <c r="B17" s="30"/>
      <c r="C17" s="31"/>
      <c r="D17" s="31"/>
      <c r="E17" s="31"/>
      <c r="F17" s="31"/>
      <c r="G17" s="31"/>
      <c r="H17" s="31"/>
      <c r="I17" s="31"/>
      <c r="J17" s="31"/>
      <c r="K17" s="41"/>
    </row>
  </sheetData>
  <sheetProtection formatCells="0" insertHyperlinks="0" autoFilter="0"/>
  <printOptions horizontalCentered="1"/>
  <pageMargins left="0.196850393700787" right="0.196850393700787" top="0.984251968503937" bottom="0.984251968503937" header="0.511811023622047" footer="0.511811023622047"/>
  <pageSetup paperSize="9" scale="79" firstPageNumber="4294963191" fitToHeight="0" orientation="landscape" blackAndWhite="1" useFirstPageNumber="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21</vt:i4>
      </vt:variant>
    </vt:vector>
  </HeadingPairs>
  <TitlesOfParts>
    <vt:vector size="21" baseType="lpstr">
      <vt:lpstr>目录</vt:lpstr>
      <vt:lpstr>1010</vt:lpstr>
      <vt:lpstr>1010-1</vt:lpstr>
      <vt:lpstr>1010-2</vt:lpstr>
      <vt:lpstr>1010-3-1</vt:lpstr>
      <vt:lpstr>1010-3-2</vt:lpstr>
      <vt:lpstr>1010-3-3</vt:lpstr>
      <vt:lpstr>1010-4</vt:lpstr>
      <vt:lpstr>1010-5</vt:lpstr>
      <vt:lpstr>1010-6</vt:lpstr>
      <vt:lpstr>1010-7</vt:lpstr>
      <vt:lpstr>1010-8</vt:lpstr>
      <vt:lpstr>1010-9</vt:lpstr>
      <vt:lpstr>1010-10</vt:lpstr>
      <vt:lpstr>1010-11</vt:lpstr>
      <vt:lpstr>1010-12</vt:lpstr>
      <vt:lpstr>1010-13</vt:lpstr>
      <vt:lpstr>1010-14</vt:lpstr>
      <vt:lpstr>1011</vt:lpstr>
      <vt:lpstr>TB</vt:lpstr>
      <vt:lpstr>ZZX-Template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weixianfeng</dc:creator>
  <cp:lastModifiedBy>禾禾</cp:lastModifiedBy>
  <cp:revision>1</cp:revision>
  <dcterms:created xsi:type="dcterms:W3CDTF">2006-11-10T06:56:00Z</dcterms:created>
  <cp:lastPrinted>2023-10-18T02:19:00Z</cp:lastPrinted>
  <dcterms:modified xsi:type="dcterms:W3CDTF">2025-10-13T11:28:46Z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3E8D2AC0EAE2455A83ABE91BA05E87C8_13</vt:lpwstr>
  </property>
</Properties>
</file>